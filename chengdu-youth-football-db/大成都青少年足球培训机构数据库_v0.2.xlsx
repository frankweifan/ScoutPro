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tables/table9.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22.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2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汇总" sheetId="2" state="visible" r:id="rId4"/>
    <sheet name="全部机构" sheetId="3" state="visible" r:id="rId5"/>
    <sheet name="足球场馆" sheetId="4" state="visible" r:id="rId6"/>
    <sheet name="锦江区" sheetId="5" state="visible" r:id="rId7"/>
    <sheet name="青羊区" sheetId="6" state="visible" r:id="rId8"/>
    <sheet name="金牛区" sheetId="7" state="visible" r:id="rId9"/>
    <sheet name="武侯区" sheetId="8" state="visible" r:id="rId10"/>
    <sheet name="成华区" sheetId="9" state="visible" r:id="rId11"/>
    <sheet name="高新区" sheetId="10" state="visible" r:id="rId12"/>
    <sheet name="天府新区" sheetId="11" state="visible" r:id="rId13"/>
    <sheet name="东部新区" sheetId="12" state="visible" r:id="rId14"/>
    <sheet name="龙泉驿区" sheetId="13" state="visible" r:id="rId15"/>
    <sheet name="青白江区" sheetId="14" state="visible" r:id="rId16"/>
    <sheet name="新都区" sheetId="15" state="visible" r:id="rId17"/>
    <sheet name="温江区" sheetId="16" state="visible" r:id="rId18"/>
    <sheet name="双流区" sheetId="17" state="visible" r:id="rId19"/>
    <sheet name="郫都区" sheetId="18" state="visible" r:id="rId20"/>
    <sheet name="新津区" sheetId="19" state="visible" r:id="rId21"/>
    <sheet name="简阳市" sheetId="20" state="visible" r:id="rId22"/>
    <sheet name="都江堰市" sheetId="21" state="visible" r:id="rId23"/>
    <sheet name="彭州市" sheetId="22" state="visible" r:id="rId24"/>
    <sheet name="邛崃市" sheetId="23" state="visible" r:id="rId25"/>
    <sheet name="崇州市" sheetId="24" state="visible" r:id="rId26"/>
    <sheet name="金堂县" sheetId="25" state="visible" r:id="rId27"/>
    <sheet name="大邑县" sheetId="26" state="visible" r:id="rId28"/>
    <sheet name="蒲江县" sheetId="27" state="visible" r:id="rId29"/>
    <sheet name="全市-多区"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<sst xmlns="http://schemas.openxmlformats.org/spreadsheetml/2006/main" count="3927" uniqueCount="925">
  <si>
    <t xml:space="preserve">大成都青少年足球培训机构数据库</t>
  </si>
  <si>
    <t xml:space="preserve">版本 v0.2 · 编制：2026-10 · 青训相关机构 138 条 · 足球场馆 100 处</t>
  </si>
  <si>
    <t xml:space="preserve">统计年份</t>
  </si>
  <si>
    <t xml:space="preserve">← 可修改的参数（蓝字黄底）</t>
  </si>
  <si>
    <t xml:space="preserve">大型 · 学员≥</t>
  </si>
  <si>
    <t xml:space="preserve">大型 · 或教练≥</t>
  </si>
  <si>
    <t xml:space="preserve">中型 · 学员≥</t>
  </si>
  <si>
    <t xml:space="preserve">中型 · 或教练≥</t>
  </si>
  <si>
    <t xml:space="preserve">收录范围</t>
  </si>
  <si>
    <t xml:space="preserve">成都市 12 区 5 市 3 县及高新区、天府新区、东部新区内，开展青少年足球培训的机构：商业培训机构、业余/职业俱乐部青训、海外品牌青训分校、开展青训的协会、提供青少年课程的场馆运营方。连锁品牌按校区分列。</t>
  </si>
  <si>
    <t xml:space="preserve">数据来源</t>
  </si>
  <si>
    <t xml:space="preserve">① 360地图公开地点检索（按 23 个区县 × 14 个关键词逐一检索，约 340 次查询），取得机构名称、区县、地址、电话；② 活动网（huodong.com）成都足球场馆列表，仅取名称、区县、地址，不采用其页面上的通用性价格/教练描述；③ 公开网页检索（新闻、百科、机构官网、教育宝等）补充成立年份、教练、学员、荣誉、风险信息。每条均附来源。</t>
  </si>
  <si>
    <t xml:space="preserve">重要限制</t>
  </si>
  <si>
    <t xml:space="preserve">大众点评、美团、抖音、小红书需要登录或有人机验证，企查查/天眼查有反爬验证，成都市体育局网站拒绝访问——本库未绕过这些限制，因此平台评分、评价数、参保人数基本缺失；地图收录的机构中，部分可能是成人业余球队或单纯场地，已在“青训业务”列标注“待核实”。标黄单元格为待采集字段。</t>
  </si>
  <si>
    <t xml:space="preserve">青训业务</t>
  </si>
  <si>
    <t xml:space="preserve">已证实（有来源）= 来源明确提到青少年培训/梯队；名称显示青少年业务 = 名称含少儿/青训/学院等，待核实；待核实 = 仅地图收录、名称未体现青少年业务，可能为成人业余球队；协会 = 区县足协等。</t>
  </si>
  <si>
    <t xml:space="preserve">零编造原则</t>
  </si>
  <si>
    <t xml:space="preserve">所有数值均来自所附来源；来源未写明的一律留空，未做任何估算。</t>
  </si>
  <si>
    <t xml:space="preserve">运营年限</t>
  </si>
  <si>
    <t xml:space="preserve">公式 = 统计年份 − 成立年份（成立年份为空时留空）。</t>
  </si>
  <si>
    <t xml:space="preserve">规模等级</t>
  </si>
  <si>
    <t xml:space="preserve">公式：学员数或教练员数达到上方阈值即判为大型/中型，否则小型；两项都为空时留空。阈值可在本页 B5–B8 修改。</t>
  </si>
  <si>
    <t xml:space="preserve">可信度</t>
  </si>
  <si>
    <t xml:space="preserve">高 = 官方或权威媒体来源且信息一致；中 = 单一媒体/机构自述；低 = 信息零散或可能已变更，需电话核实。</t>
  </si>
  <si>
    <t xml:space="preserve">运营状态</t>
  </si>
  <si>
    <t xml:space="preserve">运营中 = 近年来源显示在运营；现状未知 = 仅有较早资料；规划（未见运营）；已停业（保留作风险提示）；待核实 = 来源未说明。</t>
  </si>
  <si>
    <t xml:space="preserve">数据时效</t>
  </si>
  <si>
    <t xml:space="preserve">部分数值来自较早年份的报道（已在“规模说明/备注”中注明年份），使用前请核实。</t>
  </si>
  <si>
    <t xml:space="preserve">建议补采路径</t>
  </si>
  <si>
    <t xml:space="preserve">① 成都市及各区体育局官网《校外体育培训机构白名单》，最权威、最全的名录来源；② 大众点评/美团搜索“青少年足球”“儿童足球”，按区筛选，记录评分、评价数、地址、电话；③ 抖音/小红书搜索机构名，记录粉丝数与口碑；④ 企查查/天眼查查询成立日期、注册资本、参保人数（参保人数可近似反映教练员规模）；⑤ 电话或实地核实学员数。</t>
  </si>
  <si>
    <t xml:space="preserve">表格结构</t>
  </si>
  <si>
    <t xml:space="preserve">「汇总」按区、按类型统计；「全部机构」为总表（可筛选）；「足球场馆」为可能承接青训课程/赛事的场地（参考）；其后每个区（市县）一张分表。</t>
  </si>
  <si>
    <t xml:space="preserve">图例</t>
  </si>
  <si>
    <t xml:space="preserve">黄底空白 = 待采集字段</t>
  </si>
  <si>
    <t xml:space="preserve">区（市县）</t>
  </si>
  <si>
    <t xml:space="preserve">合计</t>
  </si>
  <si>
    <t xml:space="preserve">培训机构</t>
  </si>
  <si>
    <t xml:space="preserve">业余俱乐部</t>
  </si>
  <si>
    <t xml:space="preserve">职业俱乐部青训</t>
  </si>
  <si>
    <t xml:space="preserve">海外青训分校</t>
  </si>
  <si>
    <t xml:space="preserve">协会</t>
  </si>
  <si>
    <t xml:space="preserve">场馆运营方</t>
  </si>
  <si>
    <t xml:space="preserve">其他</t>
  </si>
  <si>
    <t xml:space="preserve">有电话</t>
  </si>
  <si>
    <t xml:space="preserve">有成立年份</t>
  </si>
  <si>
    <t xml:space="preserve">有评分</t>
  </si>
  <si>
    <t xml:space="preserve">青训已证实</t>
  </si>
  <si>
    <t xml:space="preserve">锦江区</t>
  </si>
  <si>
    <t xml:space="preserve">青羊区</t>
  </si>
  <si>
    <t xml:space="preserve">金牛区</t>
  </si>
  <si>
    <t xml:space="preserve">武侯区</t>
  </si>
  <si>
    <t xml:space="preserve">成华区</t>
  </si>
  <si>
    <t xml:space="preserve">高新区</t>
  </si>
  <si>
    <t xml:space="preserve">天府新区</t>
  </si>
  <si>
    <t xml:space="preserve">东部新区</t>
  </si>
  <si>
    <t xml:space="preserve">龙泉驿区</t>
  </si>
  <si>
    <t xml:space="preserve">青白江区</t>
  </si>
  <si>
    <t xml:space="preserve">新都区</t>
  </si>
  <si>
    <t xml:space="preserve">温江区</t>
  </si>
  <si>
    <t xml:space="preserve">双流区</t>
  </si>
  <si>
    <t xml:space="preserve">郫都区</t>
  </si>
  <si>
    <t xml:space="preserve">新津区</t>
  </si>
  <si>
    <t xml:space="preserve">简阳市</t>
  </si>
  <si>
    <t xml:space="preserve">都江堰市</t>
  </si>
  <si>
    <t xml:space="preserve">彭州市</t>
  </si>
  <si>
    <t xml:space="preserve">邛崃市</t>
  </si>
  <si>
    <t xml:space="preserve">崇州市</t>
  </si>
  <si>
    <t xml:space="preserve">金堂县</t>
  </si>
  <si>
    <t xml:space="preserve">大邑县</t>
  </si>
  <si>
    <t xml:space="preserve">蒲江县</t>
  </si>
  <si>
    <t xml:space="preserve">全市/多区</t>
  </si>
  <si>
    <t xml:space="preserve">注：类型以来源描述归类；“有电话/有成立年份/有评分”用于显示各区信息完整度。</t>
  </si>
  <si>
    <t xml:space="preserve">序号</t>
  </si>
  <si>
    <t xml:space="preserve">机构名称</t>
  </si>
  <si>
    <t xml:space="preserve">品牌/所属</t>
  </si>
  <si>
    <t xml:space="preserve">机构类型</t>
  </si>
  <si>
    <t xml:space="preserve">公司/法人名称</t>
  </si>
  <si>
    <t xml:space="preserve">训练地址</t>
  </si>
  <si>
    <t xml:space="preserve">联系电话</t>
  </si>
  <si>
    <t xml:space="preserve">其他联系方式</t>
  </si>
  <si>
    <t xml:space="preserve">成立年份</t>
  </si>
  <si>
    <t xml:space="preserve">运营年限（年）</t>
  </si>
  <si>
    <t xml:space="preserve">运营年限说明</t>
  </si>
  <si>
    <t xml:space="preserve">教练员数量</t>
  </si>
  <si>
    <t xml:space="preserve">学员数量</t>
  </si>
  <si>
    <t xml:space="preserve">校区/场地数</t>
  </si>
  <si>
    <t xml:space="preserve">规模说明</t>
  </si>
  <si>
    <t xml:space="preserve">招生年龄</t>
  </si>
  <si>
    <t xml:space="preserve">大众点评评分</t>
  </si>
  <si>
    <t xml:space="preserve">美团评分</t>
  </si>
  <si>
    <t xml:space="preserve">其他平台评分</t>
  </si>
  <si>
    <t xml:space="preserve">收费信息</t>
  </si>
  <si>
    <t xml:space="preserve">荣誉/资质</t>
  </si>
  <si>
    <t xml:space="preserve">信息来源</t>
  </si>
  <si>
    <t xml:space="preserve">待核实/备注</t>
  </si>
  <si>
    <t xml:space="preserve">四川省宇晖仁德足球俱乐部（卡尔美·成都仁德足球青训基地）</t>
  </si>
  <si>
    <t xml:space="preserve">仁德足球</t>
  </si>
  <si>
    <t xml:space="preserve">已证实（有来源）</t>
  </si>
  <si>
    <t xml:space="preserve">待核实</t>
  </si>
  <si>
    <t xml:space="preserve">四川省宇晖仁德体育文化传播有限责任公司（关联待确认）</t>
  </si>
  <si>
    <t xml:space="preserve">三环路东一段附近</t>
  </si>
  <si>
    <t xml:space="preserve">+86-15114062861</t>
  </si>
  <si>
    <t xml:space="preserve">官网 http://www.yhrdty.com</t>
  </si>
  <si>
    <t xml:space="preserve">公司2015-03-05成立（企查查）；注册资本200万元；法定代表人马明宇</t>
  </si>
  <si>
    <t xml:space="preserve">卡尔美成都仁德足球青训基地；锦江仁德足球主题公园</t>
  </si>
  <si>
    <t xml:space="preserve">向锦江、成华、武侯等区学校派驻教练；长期学员约200名（百度百科，年份未注明）；拥有14块标准场地（四川省体育局2020年报道）</t>
  </si>
  <si>
    <t xml:space="preserve">4–18岁</t>
  </si>
  <si>
    <t xml:space="preserve">2018雪佛兰全国少儿足球冠军赛成都赛区冠军</t>
  </si>
  <si>
    <t xml:space="preserve">http://www.yhrdty.com/index.php?m=content&amp;c=index&amp;a=lists&amp;catid=19
https://www.thecfa.cn/cgzq/20190114/26088.html
360地图 POI（restapi.map.so.com）
https://huodong.com/venue/detail/tktmlk
https://m.qcc.com/firm/3bac3d95ecf684438bd98491320d4a5c.html
https://tyj.sc.gov.cn/sctyj/TYaddN/2020/9/14/9855f7280b6649d3bcbf0dd0560f9629.shtml
https://baike.baidu.com/item/%E5%9B%9B%E5%B7%9D%E5%AE%87%E6%99%96%E4%BB%81%E5%BE%B7%E8%B6%B3%E7%90%83%E4%BF%B1%E4%B9%90%E9%83%A8/64016151</t>
  </si>
  <si>
    <t xml:space="preserve">中</t>
  </si>
  <si>
    <t xml:space="preserve">所在区为推断</t>
  </si>
  <si>
    <t xml:space="preserve">之己体育迈浪足球学院（锦江店）</t>
  </si>
  <si>
    <t xml:space="preserve">之己体育 / 迈浪足球</t>
  </si>
  <si>
    <t xml:space="preserve">锦江区动感熊猫体育公园内</t>
  </si>
  <si>
    <t xml:space="preserve">18980068009</t>
  </si>
  <si>
    <t xml:space="preserve">锦江店</t>
  </si>
  <si>
    <t xml:space="preserve">5人制、7人制人造草场地</t>
  </si>
  <si>
    <t xml:space="preserve">https://huodong.com/venue/detail/eyLaq
https://huodong.com/venue/detail/qhispx</t>
  </si>
  <si>
    <t xml:space="preserve">低</t>
  </si>
  <si>
    <t xml:space="preserve">索福德青少儿快乐足球培训</t>
  </si>
  <si>
    <t xml:space="preserve">索福德</t>
  </si>
  <si>
    <t xml:space="preserve">锦江区晨辉西路56号足球公园园区内</t>
  </si>
  <si>
    <t xml:space="preserve">网站 soccerworld.cn</t>
  </si>
  <si>
    <t xml:space="preserve">锦江区晨辉西路56号足球公园园区内配套1号办公房屋</t>
  </si>
  <si>
    <t xml:space="preserve">3.0（教育宝（口碑值））</t>
  </si>
  <si>
    <t xml:space="preserve">https://cd.jiaoyubao.cn/zuqiu/
https://s.jiaoyubao.cn/do/?c=cd&amp;classename=qiulei&amp;k=%E5%B0%91%E5%84%BF</t>
  </si>
  <si>
    <t xml:space="preserve">大牛青少年足球俱乐部</t>
  </si>
  <si>
    <t xml:space="preserve">名称显示青少年业务（待核实）</t>
  </si>
  <si>
    <t xml:space="preserve">运营中（平台收录）</t>
  </si>
  <si>
    <t xml:space="preserve">https://huodong.com/venue/detail/yqnohb</t>
  </si>
  <si>
    <t xml:space="preserve">圣斯顿足球俱乐部</t>
  </si>
  <si>
    <t xml:space="preserve">待核实（可能为成人业余球队/场地）</t>
  </si>
  <si>
    <t xml:space="preserve">https://huodong.com/venue/detail/zbwuqj</t>
  </si>
  <si>
    <t xml:space="preserve">天际线足球俱乐部</t>
  </si>
  <si>
    <t xml:space="preserve">运营中（地图收录）</t>
  </si>
  <si>
    <t xml:space="preserve">成都市锦江区琉新路301号</t>
  </si>
  <si>
    <t xml:space="preserve">18628004621</t>
  </si>
  <si>
    <t xml:space="preserve">360地图 POI（restapi.map.so.com）</t>
  </si>
  <si>
    <t xml:space="preserve">跃九天足球俱乐部</t>
  </si>
  <si>
    <t xml:space="preserve">https://huodong.com/venue/detail/rdcpde</t>
  </si>
  <si>
    <t xml:space="preserve">众禾足球俱乐部</t>
  </si>
  <si>
    <t xml:space="preserve">众禾足球</t>
  </si>
  <si>
    <t xml:space="preserve">待核实（来源未证实青训业务）</t>
  </si>
  <si>
    <t xml:space="preserve">锦江区 众禾双桥子足球公园（环球汇·天誉）；另见静思南巷与中环路锦绣大道段交叉口</t>
  </si>
  <si>
    <t xml:space="preserve">参加第一届中国青少年足球联赛（四川赛区）U9并小组出线；场地地图列有“众禾双桥子足球公园”（关系未证实）</t>
  </si>
  <si>
    <t xml:space="preserve">周末班、寒暑假集训</t>
  </si>
  <si>
    <t xml:space="preserve">https://huodong.com/venue/detail/eyLaA
https://sichuan.scol.com.cn/ggxw/202302/58806642.html
https://cd.jiaoyubao.cn/zuqiu/dt_z1910.html</t>
  </si>
  <si>
    <t xml:space="preserve">教育宝：暂无评分</t>
  </si>
  <si>
    <t xml:space="preserve">传奇足球梦工场</t>
  </si>
  <si>
    <t xml:space="preserve">成都市锦江区桦彩路89号</t>
  </si>
  <si>
    <t xml:space="preserve">028-61112170</t>
  </si>
  <si>
    <t xml:space="preserve">绿轴兴城足球公园(训练基地)</t>
  </si>
  <si>
    <t xml:space="preserve">绿轴兴城足球公园</t>
  </si>
  <si>
    <t xml:space="preserve">成都市锦江区首开龙湖天璞东门东北</t>
  </si>
  <si>
    <t xml:space="preserve">18512871289</t>
  </si>
  <si>
    <t xml:space="preserve">成都蓉城足球俱乐部训练基地（地图名称），是否对外开设青少年课程未知</t>
  </si>
  <si>
    <t xml:space="preserve">皇家贝里斯足球俱乐部（皇贝青训）</t>
  </si>
  <si>
    <t xml:space="preserve">皇贝</t>
  </si>
  <si>
    <t xml:space="preserve">青羊区贝森北路西村大院</t>
  </si>
  <si>
    <t xml:space="preserve">18080802014</t>
  </si>
  <si>
    <t xml:space="preserve">百科称2013年底创立（另说2014年）；运营公司2016年5月成立</t>
  </si>
  <si>
    <t xml:space="preserve">西村、光华、清波、桂溪、晨辉 5个校区（百度百科）；青羊区贝森北路1号西村大院</t>
  </si>
  <si>
    <t xml:space="preserve">多支6–12岁梯队及兴趣班；累计学员5000余名（百度百科，2025）；约2017年调查：教练10余名</t>
  </si>
  <si>
    <t xml:space="preserve">6–12岁梯队</t>
  </si>
  <si>
    <t xml:space="preserve">较早调查：寒假班1280元（年份未标注）</t>
  </si>
  <si>
    <t xml:space="preserve">据称2019年获中国足协“全国社会足球品牌青训机构”认定（四川唯一）；青训总教练持亚足联A级；青训总教练张林海（原成都五牛主帅）</t>
  </si>
  <si>
    <t xml:space="preserve">https://www.sohu.com/a/338252396_120288288
https://baike.baidu.com/item/%E7%9A%87%E5%AE%B6%E8%B4%9D%E9%87%8C%E6%96%AF%E8%B6%B3%E7%90%83%E4%BF%B1%E4%B9%90%E9%83%A8/16686556
https://m.dongqiudi.com/article/2144123.html
360地图 POI（restapi.map.so.com）
http://www.dianping.com/shop/25035403/photos?pg=17</t>
  </si>
  <si>
    <t xml:space="preserve">有门店页（西村校区），评分未显示</t>
  </si>
  <si>
    <t xml:space="preserve">FF体育公园（FF足球公园 · 成都足协青少年足球培训中心）</t>
  </si>
  <si>
    <t xml:space="preserve">FF体育公园 / 成都足协</t>
  </si>
  <si>
    <t xml:space="preserve">运营中</t>
  </si>
  <si>
    <t xml:space="preserve">成都市青羊区光华大道一段（万家湾公交总站旁）</t>
  </si>
  <si>
    <t xml:space="preserve">028-86743798</t>
  </si>
  <si>
    <t xml:space="preserve">电话见中国足协官网成都青训中心页面</t>
  </si>
  <si>
    <t xml:space="preserve">地图收录：FF足球公园卡丁车俱乐部（青羊区）成都市青羊区蔡桥街道光华8线与成飞大道交汇处万家福地西南角；地图收录：国家青少年足球训练中心（青羊区）成都市青羊区光华南三路88号正西方向180米</t>
  </si>
  <si>
    <t xml:space="preserve">约80亩、投资约1.3亿元；5块五人制、4块八人制、2块十一人制场地；成都足协挂牌青少年足球培训中心、足球重点项目训练基地</t>
  </si>
  <si>
    <t xml:space="preserve">中国足协2026年确定成都为大区青训中心（13–15岁，覆盖西南）；拉玛足球在此设校区</t>
  </si>
  <si>
    <t xml:space="preserve">https://www.thecfa.cn/qxunzx/20180903/24556.html
https://m.dongqiudi.com/article/1654210.html
https://sports.sina.cn/2026-08-18/detail-ininswmx7436499.d.html?vt=4
360地图 POI（restapi.map.so.com）</t>
  </si>
  <si>
    <t xml:space="preserve">电话为中国足协页面所列青训中心电话，数据时间较早；地图另列名称：国家青少年足球训练中心（青羊区）</t>
  </si>
  <si>
    <t xml:space="preserve">拉玛足球 · 青羊区校区（优品道、FF体育公园）</t>
  </si>
  <si>
    <t xml:space="preserve">拉玛足球</t>
  </si>
  <si>
    <t xml:space="preserve">优品道：青羊大道99号优品广场；FF体育公园：光华大道一段</t>
  </si>
  <si>
    <t xml:space="preserve">地图收录：成都拉玛足球俱乐部（青羊区）成都市青羊区青羊大道99号附1优品道广场4F</t>
  </si>
  <si>
    <t xml:space="preserve">https://m.youkee.com/xuexiao/lmzq_xiaoqu.html
360地图 POI（restapi.map.so.com）</t>
  </si>
  <si>
    <t xml:space="preserve">花香青少年足球（青羊校区）</t>
  </si>
  <si>
    <t xml:space="preserve">花香</t>
  </si>
  <si>
    <t xml:space="preserve">风险：现状未知</t>
  </si>
  <si>
    <t xml:space="preserve">青羊区蜀辉路金沙国际商城</t>
  </si>
  <si>
    <t xml:space="preserve">5–14岁</t>
  </si>
  <si>
    <t xml:space="preserve">https://m.youkee.com/kecheng/11810.html</t>
  </si>
  <si>
    <t xml:space="preserve">品牌母公司2024年北京闭店风波，见“花香盛世体育（品牌）”</t>
  </si>
  <si>
    <t xml:space="preserve">中达舒弘青少年足球运动俱乐部(光华校区)</t>
  </si>
  <si>
    <t xml:space="preserve">中达舒弘青少年足球运动俱乐部</t>
  </si>
  <si>
    <t xml:space="preserve">https://huodong.com/venue/detail/hylemk</t>
  </si>
  <si>
    <t xml:space="preserve">青羊区青少年足球训练基地</t>
  </si>
  <si>
    <t xml:space="preserve">https://huodong.com/venue/detail/oqeogw</t>
  </si>
  <si>
    <t xml:space="preserve">99号球会</t>
  </si>
  <si>
    <t xml:space="preserve">成都市青羊区文家街道文家大道</t>
  </si>
  <si>
    <t xml:space="preserve">金鹰足球俱乐部</t>
  </si>
  <si>
    <t xml:space="preserve">成都市青羊区康河街道土龙公路四川商务职业学院东南角</t>
  </si>
  <si>
    <t xml:space="preserve">玩湃社区足球公园</t>
  </si>
  <si>
    <t xml:space="preserve">成都市青羊区通惠门路37号</t>
  </si>
  <si>
    <t xml:space="preserve">028-18116599858</t>
  </si>
  <si>
    <t xml:space="preserve">约900㎡，成都首个社区智慧足球公园，设24小时智慧足球课堂</t>
  </si>
  <si>
    <t xml:space="preserve">360地图 POI（restapi.map.so.com）
https://cbgc.scol.com.cn/news/158341</t>
  </si>
  <si>
    <t xml:space="preserve">成都大牛体育培训</t>
  </si>
  <si>
    <t xml:space="preserve">大牛</t>
  </si>
  <si>
    <t xml:space="preserve">成都市金牛区金科苑东街65号1栋5单元1层1号</t>
  </si>
  <si>
    <t xml:space="preserve">教育宝金牛区足球培训列表收录</t>
  </si>
  <si>
    <t xml:space="preserve">https://cd.jiaoyubao.cn/zuqiu/qu_jinniu.html</t>
  </si>
  <si>
    <t xml:space="preserve">教育宝地址为机构自填，可能已过时</t>
  </si>
  <si>
    <t xml:space="preserve">成都杰冠体育培训</t>
  </si>
  <si>
    <t xml:space="preserve">杰冠</t>
  </si>
  <si>
    <t xml:space="preserve">成都市金牛区天龙大道942号1层</t>
  </si>
  <si>
    <t xml:space="preserve">拉玛足球 · 花照壁校区</t>
  </si>
  <si>
    <t xml:space="preserve">https://m.youkee.com/xiaoqu/7257.html</t>
  </si>
  <si>
    <t xml:space="preserve">金牛区足球协会</t>
  </si>
  <si>
    <t xml:space="preserve">协会（组织/承办青少年赛事）</t>
  </si>
  <si>
    <t xml:space="preserve">成都市足协会员协会；未见其直接开展青训的资料。金牛区对社会青训机构实行入库管理和年度星级评定（区校足办负责）</t>
  </si>
  <si>
    <t xml:space="preserve">http://www.lysy90.com/fa/23?local=1
https://www.sport.gov.cn/n20001280/n20745751/n20767239/c21778842/content.html</t>
  </si>
  <si>
    <t xml:space="preserve">金牛区青训机构入库名单值得向区校足办索取</t>
  </si>
  <si>
    <t xml:space="preserve">博越足球俱乐部</t>
  </si>
  <si>
    <t xml:space="preserve">成都市金牛区金科苑中街与金科苑南街交汇处西南</t>
  </si>
  <si>
    <t xml:space="preserve">成都腾飞经典足球俱乐部</t>
  </si>
  <si>
    <t xml:space="preserve">腾飞经典足球俱乐部</t>
  </si>
  <si>
    <t xml:space="preserve">https://huodong.com/venue/detail/xcnrnd</t>
  </si>
  <si>
    <t xml:space="preserve">成都贝尔克足球俱乐部</t>
  </si>
  <si>
    <t xml:space="preserve">贝尔克</t>
  </si>
  <si>
    <t xml:space="preserve">2016年8月成立（百度百科）</t>
  </si>
  <si>
    <t xml:space="preserve">以青少年足球培训为核心的综合素质教育机构，总部在武侯区；百科称教练10余名（含中国足协D级1名）；外籍主教练，称获法国梅斯俱乐部支持</t>
  </si>
  <si>
    <t xml:space="preserve">4–13岁</t>
  </si>
  <si>
    <t xml:space="preserve">华宜天下足球联赛最佳组织奖</t>
  </si>
  <si>
    <t xml:space="preserve">https://baike.baidu.com/item/%E6%88%90%E9%83%BD%E8%B4%9D%E5%B0%94%E5%85%8B%E8%B6%B3%E7%90%83%E4%BF%B1%E4%B9%90%E9%83%A8/19966520</t>
  </si>
  <si>
    <t xml:space="preserve">拉玛足球（品牌总部 · 武侯区校区）</t>
  </si>
  <si>
    <t xml:space="preserve">运营中（待核实）</t>
  </si>
  <si>
    <t xml:space="preserve">银泰城校区：武侯区益州大道1999号银泰城6楼（总部所在不详，以下为多校区）</t>
  </si>
  <si>
    <t xml:space="preserve">400-666-6886；028-87076722（官网所列）；4006-303-880（聚合平台）</t>
  </si>
  <si>
    <t xml:space="preserve">官网 lamafootball.cn</t>
  </si>
  <si>
    <t xml:space="preserve">宣传称品牌2016年10月成立</t>
  </si>
  <si>
    <t xml:space="preserve">武侯：银泰城（益州大道1999号6楼）、金楠广场（兆景路199号）、凯德·新南（盛和一路99号）；其他区校区见各区分表</t>
  </si>
  <si>
    <t xml:space="preserve">搜狐较早调查：寒假培训人数由300增至550（年份未标注）；校区数各页不一，一页称8个；聚合平台称员工约50人、办公面积3000㎡（非参保数据）</t>
  </si>
  <si>
    <t xml:space="preserve">4.5–16岁</t>
  </si>
  <si>
    <t xml:space="preserve">自述外教来自巴塞罗那；课程分兴趣/提高/精英班</t>
  </si>
  <si>
    <t xml:space="preserve">https://m.youkee.com/xuexiao/lmzq_xiaoqu.html
https://m.youkee.com/xuexiao/lmzq_jianjie.html
https://m.sohu.com/n/479553636/?wscrid=95360_1
http://www.lamafootball.cn/nationalCenter/</t>
  </si>
  <si>
    <t xml:space="preserve">跨武侯/高新/青羊/金牛多区；学员数为某年寒假班人数</t>
  </si>
  <si>
    <t xml:space="preserve">胜利联盟菲戈足球学院成都分院</t>
  </si>
  <si>
    <t xml:space="preserve">胜利联盟/菲戈</t>
  </si>
  <si>
    <t xml:space="preserve">已停业</t>
  </si>
  <si>
    <t xml:space="preserve">红牌楼某商场顶楼（原址）</t>
  </si>
  <si>
    <t xml:space="preserve">2017年报道：停训、人去楼空，家长退费无门</t>
  </si>
  <si>
    <t xml:space="preserve">https://m.thepaper.cn/wifiKey_detail.jsp?contid=1902798&amp;from=wifiKey
https://www.cqcb.com/sports/2017-12-17/600642.html</t>
  </si>
  <si>
    <t xml:space="preserve">保留作风险提示</t>
  </si>
  <si>
    <t xml:space="preserve">麒麟小将青训俱乐部</t>
  </si>
  <si>
    <t xml:space="preserve">https://huodong.com/venue/detail/otpsba</t>
  </si>
  <si>
    <t xml:space="preserve">斯巴达足球学院(天府四街校区)</t>
  </si>
  <si>
    <t xml:space="preserve">斯巴达足球学院</t>
  </si>
  <si>
    <t xml:space="preserve">https://huodong.com/venue/detail/xivviu</t>
  </si>
  <si>
    <t xml:space="preserve">909足球俱乐部</t>
  </si>
  <si>
    <t xml:space="preserve">成都市武侯区东原印长江南侧</t>
  </si>
  <si>
    <t xml:space="preserve">富搏足球俱乐部(复城广场店)</t>
  </si>
  <si>
    <t xml:space="preserve">富搏足球俱乐部</t>
  </si>
  <si>
    <t xml:space="preserve">https://huodong.com/venue/detail/cgbuzm</t>
  </si>
  <si>
    <t xml:space="preserve">富搏足球俱乐部(天府中心店)</t>
  </si>
  <si>
    <t xml:space="preserve">成都市武侯区天府一街888号(锦城湖地铁站D口步行160米)</t>
  </si>
  <si>
    <t xml:space="preserve">成都育英足球俱乐部</t>
  </si>
  <si>
    <t xml:space="preserve">育英足球俱乐部</t>
  </si>
  <si>
    <t xml:space="preserve">成都市武侯区新乐北街10号(四川新北足球中心)</t>
  </si>
  <si>
    <t xml:space="preserve">19828366604</t>
  </si>
  <si>
    <t xml:space="preserve">方圆足球俱乐部(苏宁广场)</t>
  </si>
  <si>
    <t xml:space="preserve">方圆足球俱乐部</t>
  </si>
  <si>
    <t xml:space="preserve">https://huodong.com/venue/detail/vrjjmc</t>
  </si>
  <si>
    <t xml:space="preserve">方圆足球俱乐部(苏宁广场城市奥特莱斯店)</t>
  </si>
  <si>
    <t xml:space="preserve">成都市武侯区天府大道北段8号苏宁广场7F</t>
  </si>
  <si>
    <t xml:space="preserve">13709016394</t>
  </si>
  <si>
    <t xml:space="preserve">阿迪达斯20号体育公园</t>
  </si>
  <si>
    <t xml:space="preserve">20号体育公园 / adidas</t>
  </si>
  <si>
    <t xml:space="preserve">武侯区江安河生态文化旅游带</t>
  </si>
  <si>
    <t xml:space="preserve">2023-03-25开放</t>
  </si>
  <si>
    <t xml:space="preserve">约3万平方米；11人制、8人制场各1块及可持续五人制场</t>
  </si>
  <si>
    <t xml:space="preserve">https://daoinsights.com/news/adidas-first-sustainable-football-pitch-in-china-unveiled-in-chengdu/
https://www.bangcity.cn/index.php/adidasi20haotiyugongyuanrongchengjiepai-quanguoshougekechixuqiuchangzhengshikaifang</t>
  </si>
  <si>
    <t xml:space="preserve">未找到青训课程直接证据</t>
  </si>
  <si>
    <t xml:space="preserve">以恒足球俱乐部（武侯校区）</t>
  </si>
  <si>
    <t xml:space="preserve">以恒足球</t>
  </si>
  <si>
    <t xml:space="preserve">武侯校区（五人制）</t>
  </si>
  <si>
    <t xml:space="preserve">https://huodong.com/venue/detail/eyLei</t>
  </si>
  <si>
    <t xml:space="preserve">湖上体育篮球足球体适能综合馆</t>
  </si>
  <si>
    <t xml:space="preserve">成都市武侯区紫薇东路70号3楼(神仙树地铁站E口步行230米)</t>
  </si>
  <si>
    <t xml:space="preserve">17358522371</t>
  </si>
  <si>
    <t xml:space="preserve">成都翊动足球俱乐部</t>
  </si>
  <si>
    <t xml:space="preserve">翊动</t>
  </si>
  <si>
    <t xml:space="preserve">成华校区：成华区河北路177号；锦江校区：经天西路320号</t>
  </si>
  <si>
    <t xml:space="preserve">400-029-0979转56017（平台转接号）</t>
  </si>
  <si>
    <t xml:space="preserve">成华校区、锦江校区；成华校区：跳蹬河北路177号（百灵鸟仕艾康足球运动中心）；锦江校区：经天西路320号（320经天足球公园）</t>
  </si>
  <si>
    <t xml:space="preserve">小班滚动开班；足球训练班、寒暑假集训、特长生集训</t>
  </si>
  <si>
    <t xml:space="preserve">4-12岁</t>
  </si>
  <si>
    <t xml:space="preserve">4.0（教育宝）</t>
  </si>
  <si>
    <t xml:space="preserve">https://cd.jiaoyubao.cn/zuqiu/dt_z3488.html
https://cd.jiaoyubao.cn/zuqiu/
https://peixun.dzwww.com/cd/edu/j_d29c/m/</t>
  </si>
  <si>
    <t xml:space="preserve">拉玛足球 · 青龙场中心</t>
  </si>
  <si>
    <t xml:space="preserve">成华区昭青南路8号 爱球青龙场五人制足球场</t>
  </si>
  <si>
    <t xml:space="preserve">https://www.jianshu.com/p/b5c1331dfe3e</t>
  </si>
  <si>
    <t xml:space="preserve">来源较旧（约2019年）</t>
  </si>
  <si>
    <t xml:space="preserve">中达舒弘青少年足球运动俱乐部(驷马桥校区)</t>
  </si>
  <si>
    <t xml:space="preserve">https://huodong.com/venue/detail/qiedwg</t>
  </si>
  <si>
    <t xml:space="preserve">成都仕艾康足球俱乐部</t>
  </si>
  <si>
    <t xml:space="preserve">仕艾康足球俱乐部</t>
  </si>
  <si>
    <t xml:space="preserve">成都市成华区跳蹬河街道跳蹬河北路与东秀二路交汇处锦绣东方东侧</t>
  </si>
  <si>
    <t xml:space="preserve">成都博誉五人制足球俱乐部</t>
  </si>
  <si>
    <t xml:space="preserve">博誉五人制足球俱乐部</t>
  </si>
  <si>
    <t xml:space="preserve">成都市成华区鹤林四路</t>
  </si>
  <si>
    <t xml:space="preserve">18980005998</t>
  </si>
  <si>
    <t xml:space="preserve">成都博誉足球俱乐部</t>
  </si>
  <si>
    <t xml:space="preserve">博誉足球俱乐部</t>
  </si>
  <si>
    <t xml:space="preserve">成都嵿峰足球俱乐部</t>
  </si>
  <si>
    <t xml:space="preserve">嵿峰足球俱乐部</t>
  </si>
  <si>
    <t xml:space="preserve">https://huodong.com/venue/detail/hgowpv</t>
  </si>
  <si>
    <t xml:space="preserve">成都市蜀龙骁将足球俱乐部</t>
  </si>
  <si>
    <t xml:space="preserve">蜀龙骁将足球俱乐部</t>
  </si>
  <si>
    <t xml:space="preserve">https://huodong.com/venue/detail/wnhjry</t>
  </si>
  <si>
    <t xml:space="preserve">成都汇萃体育培训</t>
  </si>
  <si>
    <t xml:space="preserve">汇萃体育</t>
  </si>
  <si>
    <t xml:space="preserve">成都汇萃体育文化传播有限公司（教育宝）</t>
  </si>
  <si>
    <t xml:space="preserve">成都高新区天府四街66号2栋3层4号</t>
  </si>
  <si>
    <t xml:space="preserve">https://cd.jiaoyubao.cn/zuqiu/</t>
  </si>
  <si>
    <t xml:space="preserve">成都猎豹足球培训</t>
  </si>
  <si>
    <t xml:space="preserve">猎豹足球</t>
  </si>
  <si>
    <t xml:space="preserve">现状未知</t>
  </si>
  <si>
    <t xml:space="preserve">成都高新区大源体育公园内18号</t>
  </si>
  <si>
    <t xml:space="preserve">地图收录：成都高新区猎豹足球俱乐部（武侯区）成都市武侯区桂溪街道大源南二街与昆华路交汇处桂溪安全文化公园；成都高新区大源体育公园（昆华路919号）</t>
  </si>
  <si>
    <t xml:space="preserve">2块五人制场地（本地宝，未注明日期）</t>
  </si>
  <si>
    <t xml:space="preserve">川足名宿姚夏创办；2016岁月明星杯全国青少年邀请赛参赛</t>
  </si>
  <si>
    <t xml:space="preserve">https://cd.jiaoyubao.cn/zuqiu/
360地图 POI（restapi.map.so.com）
https://m.cd.bendibao.com/tour/72476_5.shtm
https://m.thepaper.cn/newsDetail_forward_3975372</t>
  </si>
  <si>
    <t xml:space="preserve">拉玛足球 · 桂溪（UPARK）/南城荟校区</t>
  </si>
  <si>
    <t xml:space="preserve">桂溪：盛邦街富华北路666号UPARK公园足球场；南城荟：万象北路138号（另一页写武侯区成汉中路181号）</t>
  </si>
  <si>
    <t xml:space="preserve">https://m.youkee.com/xuexiao/lmzq_xiaoqu.html
https://m.youkee.com/xiaoqu/7252.html</t>
  </si>
  <si>
    <t xml:space="preserve">沸点足球俱乐部（高新校区）</t>
  </si>
  <si>
    <t xml:space="preserve">沸点足球</t>
  </si>
  <si>
    <t xml:space="preserve">高新校区</t>
  </si>
  <si>
    <t xml:space="preserve">https://huodong.com/venue/detail/ey7bj
https://huodong.com/venue/detail/egwocd</t>
  </si>
  <si>
    <t xml:space="preserve">另一来源标注在武侯区神仙树南路；地图收录地址在武侯区一侧</t>
  </si>
  <si>
    <t xml:space="preserve">拜仁成都足球学校（规划）</t>
  </si>
  <si>
    <t xml:space="preserve">FC Bayern</t>
  </si>
  <si>
    <t xml:space="preserve">规划（未见运营）</t>
  </si>
  <si>
    <t xml:space="preserve">约2018年报道的规划项目</t>
  </si>
  <si>
    <t xml:space="preserve">幼儿园至高中（规划）</t>
  </si>
  <si>
    <t xml:space="preserve">https://www.thepaper.cn/newsDetail_forward_2851799</t>
  </si>
  <si>
    <t xml:space="preserve">20号足球公园（天府公园HI-PARK运动中心）</t>
  </si>
  <si>
    <t xml:space="preserve">20号足球公园（邹侑根）</t>
  </si>
  <si>
    <t xml:space="preserve">天府公园HI-PARK运动中心内</t>
  </si>
  <si>
    <t xml:space="preserve">品牌首店2013年于锦城湖边开业；天府公园店2021-12开业</t>
  </si>
  <si>
    <t xml:space="preserve">8人制场2块、5人制场1块、5人制训练场1块</t>
  </si>
  <si>
    <t xml:space="preserve">宣称开展常态化训练教学；“省足协青少年足球发展基地”一说未能证实</t>
  </si>
  <si>
    <t xml:space="preserve">https://www.sohu.com/a/514268912_670423
https://www.163.com/dy/article/HEDQGE510514OL9V.html</t>
  </si>
  <si>
    <t xml:space="preserve">拉玛足球 · 华阳中心</t>
  </si>
  <si>
    <t xml:space="preserve">华阳观音湾路锦官丽城亲水湾旁 星空5V5滨河足球场</t>
  </si>
  <si>
    <t xml:space="preserve">来源较旧；华阳片区行政归属以实地为准</t>
  </si>
  <si>
    <t xml:space="preserve">RCDE Academy Chengdu（西班牙人足球学院成都）</t>
  </si>
  <si>
    <t xml:space="preserve">RCD Espanyol 西班牙人</t>
  </si>
  <si>
    <t xml:space="preserve">麓湖三分足球公园</t>
  </si>
  <si>
    <t xml:space="preserve">抖音 RCDE_chengdu；技术总监 Marc Carballo</t>
  </si>
  <si>
    <t xml:space="preserve">2026年7月首个赛季，与本地合作方共同运营</t>
  </si>
  <si>
    <t xml:space="preserve">首批120名预报名球员；西班牙人派1名教练常驻；开办时西班牙人派驻1名教练；开办时预注册120名</t>
  </si>
  <si>
    <t xml:space="preserve">https://www.rcdespanyol.com/en/new/rcd-espanyol-de-barcelona-to-open-new-academy-in-chengdu,-china/20485
https://www.rcdespanyol.com/en/chengdu</t>
  </si>
  <si>
    <t xml:space="preserve">高</t>
  </si>
  <si>
    <t xml:space="preserve">鲁能青训成都人才基地</t>
  </si>
  <si>
    <t xml:space="preserve">山东鲁能足校</t>
  </si>
  <si>
    <t xml:space="preserve">天府新区兴隆小学（2015年揭牌地点）</t>
  </si>
  <si>
    <t xml:space="preserve">2015-12揭牌，现状不明</t>
  </si>
  <si>
    <t xml:space="preserve">http://sports.sina.com.cn/china/b/2015-12-14/doc-ifxmpnqm3267526.shtml</t>
  </si>
  <si>
    <t xml:space="preserve">成都蓉小虎少儿足球俱乐部(华阳校区)</t>
  </si>
  <si>
    <t xml:space="preserve">蓉小虎少儿足球俱乐部</t>
  </si>
  <si>
    <t xml:space="preserve">https://huodong.com/venue/detail/dlxrmp</t>
  </si>
  <si>
    <t xml:space="preserve">成都蓉小虎少儿足球俱乐部(高新校区)</t>
  </si>
  <si>
    <t xml:space="preserve">https://huodong.com/venue/detail/eajvpa</t>
  </si>
  <si>
    <t xml:space="preserve">亥成少儿足球训练中心(华阳店)</t>
  </si>
  <si>
    <t xml:space="preserve">亥成少儿足球训练中心</t>
  </si>
  <si>
    <t xml:space="preserve">https://huodong.com/venue/detail/pdrsax</t>
  </si>
  <si>
    <t xml:space="preserve">亥成足球篮球羽毛球训练中心(天府和悦店)</t>
  </si>
  <si>
    <t xml:space="preserve">亥成足球篮球羽毛球训练中心</t>
  </si>
  <si>
    <t xml:space="preserve">https://huodong.com/venue/detail/rxiyyy</t>
  </si>
  <si>
    <t xml:space="preserve">三利星源足球俱乐部</t>
  </si>
  <si>
    <t xml:space="preserve">https://huodong.com/venue/detail/pzlooe</t>
  </si>
  <si>
    <t xml:space="preserve">成都海浪足球俱乐部</t>
  </si>
  <si>
    <t xml:space="preserve">海浪</t>
  </si>
  <si>
    <t xml:space="preserve">前身为龙泉驿区足协青训部</t>
  </si>
  <si>
    <t xml:space="preserve">8个年龄段青少年梯队；与区内多所学校签战略培训协议；年均培训3万余人次；教练含亚足联B级1名、C级3名及多名D级（2021年报道）</t>
  </si>
  <si>
    <t xml:space="preserve">峨眉山杯青少年足球赛U12冠军；成都市青少年联赛（北区）U9冠军等；龙泉驿区校园足球P联赛冠军；成都市青少年联赛北区U8、U9冠军</t>
  </si>
  <si>
    <t xml:space="preserve">https://m.voc.com.cn/xhn/news/202107/15602824.html
https://www.lysy360.com/team/1309</t>
  </si>
  <si>
    <t xml:space="preserve">成都市龙泉驿区足球协会</t>
  </si>
  <si>
    <t xml:space="preserve">成都市足协会员协会；原青训部2017年改为海浪足球俱乐部</t>
  </si>
  <si>
    <t xml:space="preserve">https://m.voc.com.cn/xhn/news/202107/15602824.html</t>
  </si>
  <si>
    <t xml:space="preserve">中达舒弘青少年足球运动俱乐部(成渝万科校区)</t>
  </si>
  <si>
    <t xml:space="preserve">https://huodong.com/venue/detail/aiufet</t>
  </si>
  <si>
    <t xml:space="preserve">罗森内里足球俱乐部</t>
  </si>
  <si>
    <t xml:space="preserve">成都市龙泉驿区范围内</t>
  </si>
  <si>
    <t xml:space="preserve">聚创十陵足球俱乐部</t>
  </si>
  <si>
    <t xml:space="preserve">成都市龙泉驿区成洛大道成洛路700号</t>
  </si>
  <si>
    <t xml:space="preserve">龙泉梦剧场足球俱乐部</t>
  </si>
  <si>
    <t xml:space="preserve">成都市龙泉驿区井山路中国铁建国际城南侧约190米</t>
  </si>
  <si>
    <t xml:space="preserve">青白江区足球协会</t>
  </si>
  <si>
    <t xml:space="preserve">与区实验小学承办校园足球公益进校园活动（报道较早）</t>
  </si>
  <si>
    <t xml:space="preserve">https://www.sport.gov.cn/n20001280/n20745751/n20767277/c21486830/content.html</t>
  </si>
  <si>
    <t xml:space="preserve">三河村农民健身足球俱乐部</t>
  </si>
  <si>
    <t xml:space="preserve">成都市新都区三河村</t>
  </si>
  <si>
    <t xml:space="preserve">前身为2009年村民自发组建的斑竹园老男孩足球俱乐部</t>
  </si>
  <si>
    <t xml:space="preserve">地图收录：三河村农民健身足球俱乐部（新都区）成都市新都区三河村11社13号</t>
  </si>
  <si>
    <t xml:space="preserve">建设U7/U9/U11梯队；周五青训课对外免费开放；与西南石油大学合办青少年训练营、与成都体育学院共建实践基地</t>
  </si>
  <si>
    <t xml:space="preserve">3-4岁兴趣班起；U7-U11</t>
  </si>
  <si>
    <t xml:space="preserve">周五青训课免费（2023年报道）</t>
  </si>
  <si>
    <t xml:space="preserve">成都“足球第一村”；2015年起举办“宝柚杯”联赛</t>
  </si>
  <si>
    <t xml:space="preserve">https://www.chinanews.com.cn/ty/2023/02-04/9947176.shtml
https://www.sport.gov.cn/n20001280/n20745751/n20767239/c21454914/content.html
360地图 POI（restapi.map.so.com）</t>
  </si>
  <si>
    <t xml:space="preserve">成都市新都区纵横足球俱乐部</t>
  </si>
  <si>
    <t xml:space="preserve">纵横</t>
  </si>
  <si>
    <t xml:space="preserve">成都市新都区红星路458-459号</t>
  </si>
  <si>
    <t xml:space="preserve">称新都区首家青少年专业足球俱乐部</t>
  </si>
  <si>
    <t xml:space="preserve">在西南石油大学体育学院支持下创立</t>
  </si>
  <si>
    <t xml:space="preserve">https://nanjiang.mala.cn/thread-16684409-1-1.html
360地图 POI（restapi.map.so.com）</t>
  </si>
  <si>
    <t xml:space="preserve">可能对应“四川星汉纵横足球俱乐部有限责任公司”，未核实</t>
  </si>
  <si>
    <t xml:space="preserve">成都南葛足球培训</t>
  </si>
  <si>
    <t xml:space="preserve">南葛</t>
  </si>
  <si>
    <t xml:space="preserve">成都市新都区新都街道兴业大道319号蜂云谷6层12室1号（总校）</t>
  </si>
  <si>
    <t xml:space="preserve">简介提及“2016年初…十年行业深耕”，开业年份无法确定</t>
  </si>
  <si>
    <t xml:space="preserve">总校（新都）</t>
  </si>
  <si>
    <t xml:space="preserve">新都63足球俱乐部培训基地</t>
  </si>
  <si>
    <t xml:space="preserve">成都市新都区新环路延伸段</t>
  </si>
  <si>
    <t xml:space="preserve">九号足球俱乐部</t>
  </si>
  <si>
    <t xml:space="preserve">成都市新都区学院路东段60前锋集团新都产业园</t>
  </si>
  <si>
    <t xml:space="preserve">18602813914</t>
  </si>
  <si>
    <t xml:space="preserve">爱尚足球俱乐部</t>
  </si>
  <si>
    <t xml:space="preserve">成都市新都区通力路36号</t>
  </si>
  <si>
    <t xml:space="preserve">温江体育中心青少年足球训练营</t>
  </si>
  <si>
    <t xml:space="preserve">仅见于一篇推广文章，按年龄分班</t>
  </si>
  <si>
    <t xml:space="preserve">https://www.3xyun.cn/170034.html
https://huodong.com/venue/detail/ymgplk</t>
  </si>
  <si>
    <t xml:space="preserve">运营方与资质未核实</t>
  </si>
  <si>
    <t xml:space="preserve">成都足协温江基地（含成都足协女足青训中心）</t>
  </si>
  <si>
    <t xml:space="preserve">成都足协</t>
  </si>
  <si>
    <t xml:space="preserve">成都市温江区天府街道金府路西段505号</t>
  </si>
  <si>
    <t xml:space="preserve">至迟2018年8月已投入使用</t>
  </si>
  <si>
    <t xml:space="preserve">地图收录：成都足球俱乐部五牛训练基地-培训基地（温江区）成都市温江区天府街道天府西路与金府路西段交汇处成都足球俱乐部；地图收录：成都足球俱乐部（温江区）成都市温江区金府路西段与天府西路交汇处附近东北</t>
  </si>
  <si>
    <t xml:space="preserve">5块标准足球场、2块五人制场地，配健身房、医疗室、公寓、餐厅、康复中心；女足青训中心有U18/U16/U14/U12/U11五支梯队、教练16名（中国足协官网，数据时间较早）</t>
  </si>
  <si>
    <t xml:space="preserve">U11-U18（女足梯队）</t>
  </si>
  <si>
    <t xml:space="preserve">中国足协2015—2018年度国家青少年训练基地；2026年5月承办中国足协男子青少年强化训练营（2012年龄段）；中国足协2025、2026年在此举办精英青少年训练营</t>
  </si>
  <si>
    <t xml:space="preserve">https://www.thecfa.cn/qxunzx/20180903/24556.html
https://baike.baidu.com/item/%E6%88%90%E9%83%BD%E8%B6%B3%E5%8D%8F%E6%B8%A9%E6%B1%9F%E5%9F%BA%E5%9C%B0/67282442
https://www.thepaper.cn/newsDetail_forward_23410820
https://www.sohu.com/a/1026055684_121924582
https://www.sohu.com/a/978527738_121124668
360地图 POI（restapi.map.so.com）</t>
  </si>
  <si>
    <t xml:space="preserve">原成都五牛训练基地（地图名称）</t>
  </si>
  <si>
    <t xml:space="preserve">温江区足球协会</t>
  </si>
  <si>
    <t xml:space="preserve">有活动报道，未说明青训安排</t>
  </si>
  <si>
    <t xml:space="preserve">http://sc.people.com.cn/n2/2023/0727/c345509-40510188.html
https://huodong.com/venue/detail/npdroh</t>
  </si>
  <si>
    <t xml:space="preserve">佳芮丽五人制足球俱乐部</t>
  </si>
  <si>
    <t xml:space="preserve">https://huodong.com/venue/detail/bxifrj</t>
  </si>
  <si>
    <t xml:space="preserve">锦绣森邻足球场(成狮足球俱乐部)</t>
  </si>
  <si>
    <t xml:space="preserve">锦绣森邻足球场</t>
  </si>
  <si>
    <t xml:space="preserve">成都市温江区锦绣森邻(温泉大道东)</t>
  </si>
  <si>
    <t xml:space="preserve">四川省明宇足球俱乐部</t>
  </si>
  <si>
    <t xml:space="preserve">明宇足球俱乐部</t>
  </si>
  <si>
    <t xml:space="preserve">成都市温江区农业高科园</t>
  </si>
  <si>
    <t xml:space="preserve">历史职业俱乐部相关名称，是否仍有青训业务未知</t>
  </si>
  <si>
    <t xml:space="preserve">鲁家滩运动公园(温江足球协会训练基地)</t>
  </si>
  <si>
    <t xml:space="preserve">鲁家滩运动公园</t>
  </si>
  <si>
    <t xml:space="preserve">https://huodong.com/venue/detail/svsthr</t>
  </si>
  <si>
    <t xml:space="preserve">成都市双流区空港青少年体育俱乐部</t>
  </si>
  <si>
    <t xml:space="preserve">主办“成都双流首届2025联盟杯·七省市青少年足球冠军邀请赛”（棠湖外国语学校承办）</t>
  </si>
  <si>
    <t xml:space="preserve">https://m.sohu.com/a/853558535_121124022/?pvid=000115_3w_a</t>
  </si>
  <si>
    <t xml:space="preserve">成都谢菲联足球公园（训练基地）</t>
  </si>
  <si>
    <t xml:space="preserve">谢菲联足球公园</t>
  </si>
  <si>
    <t xml:space="preserve">成都市双流区东升街道金河路</t>
  </si>
  <si>
    <t xml:space="preserve">原成都谢菲联俱乐部基地（俱乐部2015年解散），基地仍在使用</t>
  </si>
  <si>
    <t xml:space="preserve">地图收录：成都谢菲联足球俱乐部(金河路)（双流区）成都市双流区东升街道金河路优品时代西侧</t>
  </si>
  <si>
    <t xml:space="preserve">用户评论称占地约14.7万平方米（未经官方核实，故仅作说明）</t>
  </si>
  <si>
    <t xml:space="preserve">四川男足青年队训练场地；2026天府未来杯国际青少年足球精英赛（U10/U11，47队）举办地</t>
  </si>
  <si>
    <t xml:space="preserve">https://www.sport.gov.cn/n14471/n14494/n14544/c27729281/content.html
https://m.map.360.cn/m/search/detail/pid=76383a63f7f19b21
https://news.qq.com/rain/a/20250126A041O100
https://www.sohu.com/a/1084516771_121924582
360地图 POI（restapi.map.so.com）</t>
  </si>
  <si>
    <t xml:space="preserve">运营方及是否开设对外青少年课程未核实</t>
  </si>
  <si>
    <t xml:space="preserve">双流区足球协会</t>
  </si>
  <si>
    <t xml:space="preserve">仅在赛事平台球队页的管理人员信息中出现</t>
  </si>
  <si>
    <t xml:space="preserve">https://www.szfa.org.cn/team/3284</t>
  </si>
  <si>
    <t xml:space="preserve">未找到协会青训项目</t>
  </si>
  <si>
    <t xml:space="preserve">斯巴达足球学院(新川校区)</t>
  </si>
  <si>
    <t xml:space="preserve">成都市双流区新川五号运动场</t>
  </si>
  <si>
    <t xml:space="preserve">AFC空港足球汇</t>
  </si>
  <si>
    <t xml:space="preserve">成都市双流区大件路文星段5号</t>
  </si>
  <si>
    <t xml:space="preserve">13666179731</t>
  </si>
  <si>
    <t xml:space="preserve">众禾足球俱乐部（双流）</t>
  </si>
  <si>
    <t xml:space="preserve">成都市双流区珠江北路11号</t>
  </si>
  <si>
    <t xml:space="preserve">360地图 POI（restapi.map.so.com）
https://cd.jiaoyubao.cn/zuqiu/dt_z1910.html</t>
  </si>
  <si>
    <t xml:space="preserve">四川锦飞体育足球俱乐部</t>
  </si>
  <si>
    <t xml:space="preserve">锦飞体育足球俱乐部</t>
  </si>
  <si>
    <t xml:space="preserve">https://huodong.com/venue/detail/tuuxus</t>
  </si>
  <si>
    <t xml:space="preserve">成狮足球俱乐部训练基地(天然草场)</t>
  </si>
  <si>
    <t xml:space="preserve">成狮足球俱乐部训练基地</t>
  </si>
  <si>
    <t xml:space="preserve">https://huodong.com/venue/detail/nmgrmv</t>
  </si>
  <si>
    <t xml:space="preserve">成都沙克尔足球俱乐部</t>
  </si>
  <si>
    <t xml:space="preserve">沙克尔足球俱乐部</t>
  </si>
  <si>
    <t xml:space="preserve">https://huodong.com/venue/detail/rkpwpf</t>
  </si>
  <si>
    <t xml:space="preserve">星锐锋足球俱乐部</t>
  </si>
  <si>
    <t xml:space="preserve">成都市双流区正兴街道天津路西段899号附5号</t>
  </si>
  <si>
    <t xml:space="preserve">沸点足球俱乐部</t>
  </si>
  <si>
    <t xml:space="preserve">空港运动公园附近</t>
  </si>
  <si>
    <t xml:space="preserve">https://gs.ctrip.com/html5/you/sight/chengdu104/112649461.html</t>
  </si>
  <si>
    <t xml:space="preserve">仅确认存在，未证实开展青少年培训</t>
  </si>
  <si>
    <t xml:space="preserve">蜀之都足球俱乐部</t>
  </si>
  <si>
    <t xml:space="preserve">蜀之都</t>
  </si>
  <si>
    <t xml:space="preserve">郫都区郫筒街道一里桥社区筑桥足球场（社区合伙人运营）</t>
  </si>
  <si>
    <t xml:space="preserve">一里桥社区筑桥足球场；地图收录：蜀之都足球俱乐部（郫都区）成都市郫都区中信大道一段103迪卡侬</t>
  </si>
  <si>
    <t xml:space="preserve">按年龄设兴趣班、精英班，每周固定上课并办暑期训练；有U12参赛队</t>
  </si>
  <si>
    <t xml:space="preserve">https://www.thepaper.cn/newsDetail_forward_24040002
https://www.lysy360.com/team/13844
360地图 POI（restapi.map.so.com）</t>
  </si>
  <si>
    <t xml:space="preserve">成都10号足球公园</t>
  </si>
  <si>
    <t xml:space="preserve">成都市郫都区（详细地址未知）</t>
  </si>
  <si>
    <t xml:space="preserve">1片室外人造草场地</t>
  </si>
  <si>
    <t xml:space="preserve">场地预订约380元/小时（非课程价）</t>
  </si>
  <si>
    <t xml:space="preserve">预订平台列出提供教学与培训服务</t>
  </si>
  <si>
    <t xml:space="preserve">https://www.mumingerlai.net/venue/football/cheng-du/0199e371034a7c4ca5543be937c98ec2.html</t>
  </si>
  <si>
    <t xml:space="preserve">是否面向青少年未核实</t>
  </si>
  <si>
    <t xml:space="preserve">成都旗胜体育培训</t>
  </si>
  <si>
    <t xml:space="preserve">旗胜体育</t>
  </si>
  <si>
    <t xml:space="preserve">西南交大犀浦校区田径场等（共10个训练点）</t>
  </si>
  <si>
    <t xml:space="preserve">10个，含西南交大九里堤田径场、犀浦校区田径场</t>
  </si>
  <si>
    <t xml:space="preserve">10个校区</t>
  </si>
  <si>
    <t xml:space="preserve">主业为中考体育培训，项目含足球</t>
  </si>
  <si>
    <t xml:space="preserve">https://m.jiaoyubao.cn/cd/ban/qiulei/sq_xinhuagongyuan.html</t>
  </si>
  <si>
    <t xml:space="preserve">非专门足球机构；多区校区</t>
  </si>
  <si>
    <t xml:space="preserve">郫都区足球协会</t>
  </si>
  <si>
    <t xml:space="preserve">成都市足协会员协会</t>
  </si>
  <si>
    <t xml:space="preserve">承办“郫都区青少年足球公益培训”（2022年，区文旅体局主办）；承办成都足协三级裁判员培训班</t>
  </si>
  <si>
    <t xml:space="preserve">http://www.szfa.org.cn/fa/13?local=1
https://www.sohu.com/a/1076349372_122001006
https://www.sina.cn/news/detail/5345778388434962.html</t>
  </si>
  <si>
    <t xml:space="preserve">骁将足球青训丨武侯</t>
  </si>
  <si>
    <t xml:space="preserve">https://huodong.com/venue/detail/idblwz</t>
  </si>
  <si>
    <t xml:space="preserve">富博足球俱乐部</t>
  </si>
  <si>
    <t xml:space="preserve">成都市郫都区红光大道</t>
  </si>
  <si>
    <t xml:space="preserve">海友体育足球俱乐部(犀浦校区)</t>
  </si>
  <si>
    <t xml:space="preserve">海友体育足球俱乐部</t>
  </si>
  <si>
    <t xml:space="preserve">https://huodong.com/venue/detail/pdyofy</t>
  </si>
  <si>
    <t xml:space="preserve">安德万里足球队</t>
  </si>
  <si>
    <t xml:space="preserve">成都市郫都区金和街与众旺街交叉口西南140米</t>
  </si>
  <si>
    <t xml:space="preserve">起点校园足球</t>
  </si>
  <si>
    <t xml:space="preserve">成都市郫都区清江一街182西北方向80米</t>
  </si>
  <si>
    <t xml:space="preserve">新津区足球协会</t>
  </si>
  <si>
    <t xml:space="preserve">赛事平台注册数据：球队109支、球员1686名、教练4名、裁判4名、累计赛事29项（协会注册数据，非青训学员数）</t>
  </si>
  <si>
    <t xml:space="preserve">组织新津超级联赛、全民健身五人制等</t>
  </si>
  <si>
    <t xml:space="preserve">http://www.szfa.org.cn/fa/3?local=1</t>
  </si>
  <si>
    <t xml:space="preserve">未证实开设青少年培训</t>
  </si>
  <si>
    <t xml:space="preserve">胜利伯艾斯足球青训基地</t>
  </si>
  <si>
    <t xml:space="preserve">成都市新津区湿地公园足球场白堰溪足球场</t>
  </si>
  <si>
    <t xml:space="preserve">锋跃足球训练基地</t>
  </si>
  <si>
    <t xml:space="preserve">https://huodong.com/venue/detail/boqbrx</t>
  </si>
  <si>
    <t xml:space="preserve">简阳蓉渝星耀运动中心（蓉渝星耀足球俱乐部）</t>
  </si>
  <si>
    <t xml:space="preserve">蓉渝星耀</t>
  </si>
  <si>
    <t xml:space="preserve">简阳峰景里球场（比赛场地）</t>
  </si>
  <si>
    <t xml:space="preserve">2024蓉渝星耀足球俱乐部联赛：10支简阳本地青少年球队参赛</t>
  </si>
  <si>
    <t xml:space="preserve">承办2024蓉渝星耀足球俱乐部联赛（青少年）</t>
  </si>
  <si>
    <t xml:space="preserve">https://m.sohu.com/a/836436247_121924582/?pvid=000115_3w_a
https://m.sohu.com/a/836436216_122066681/?pvid=000115_3w_a</t>
  </si>
  <si>
    <t xml:space="preserve">简阳市青年文体协会</t>
  </si>
  <si>
    <t xml:space="preserve">主办2024蓉渝星耀足球俱乐部联赛（10支青少年球队）</t>
  </si>
  <si>
    <t xml:space="preserve">https://m.sohu.com/a/836436216_122066681/?pvid=000115_3w_a</t>
  </si>
  <si>
    <t xml:space="preserve">未证实开展日常青训</t>
  </si>
  <si>
    <t xml:space="preserve">四川香港马会奥林匹克运动学校</t>
  </si>
  <si>
    <t xml:space="preserve">四川体育职业学院</t>
  </si>
  <si>
    <t xml:space="preserve">都江堰市祥瑞路与廖家桥路交汇处附近</t>
  </si>
  <si>
    <t xml:space="preserve">官网 https://ax.scsc.edu.cn/</t>
  </si>
  <si>
    <t xml:space="preserve">2012年4月落成开学</t>
  </si>
  <si>
    <t xml:space="preserve">占地8.6万平方米，可容纳500名青少年运动员</t>
  </si>
  <si>
    <t xml:space="preserve">省级体育后备人才学校，开设足球项目（非商业培训机构）</t>
  </si>
  <si>
    <t xml:space="preserve">https://www.sport.gov.cn/n315/n20066836/c20721310/content.html
https://ax.scsc.edu.cn/</t>
  </si>
  <si>
    <t xml:space="preserve">都江堰青少年足球培训中心</t>
  </si>
  <si>
    <t xml:space="preserve">仅有赛事平台球队主页</t>
  </si>
  <si>
    <t xml:space="preserve">http://www.lysy90.com/team/150</t>
  </si>
  <si>
    <t xml:space="preserve">成都蓉城都江堰足球训练中心（西部区域都江堰足球训练中心）</t>
  </si>
  <si>
    <t xml:space="preserve">成都蓉城 / 成都兴城集团</t>
  </si>
  <si>
    <t xml:space="preserve">蓉城一线队在锦江基地建成前曾在此训练</t>
  </si>
  <si>
    <t xml:space="preserve">兴城集团列为推进中项目</t>
  </si>
  <si>
    <t xml:space="preserve">https://www.cdxctz.com/about-one.aspx?t=13&amp;ContentId=10
https://m.dongqiudi.com/article/3403078.html</t>
  </si>
  <si>
    <t xml:space="preserve">是否有青训梯队或对外课程未确认，类型为推断</t>
  </si>
  <si>
    <t xml:space="preserve">都江堰市足球协会</t>
  </si>
  <si>
    <t xml:space="preserve">成都市足协会员协会，获成都足协优秀协会表彰</t>
  </si>
  <si>
    <t xml:space="preserve">https://www.thecfa.cn/cgzq/20190114/26088.html
https://www.sohu.com/a/945636013_121124668</t>
  </si>
  <si>
    <t xml:space="preserve">四川足球俱乐部-训练基地</t>
  </si>
  <si>
    <t xml:space="preserve">足球俱乐部</t>
  </si>
  <si>
    <t xml:space="preserve">成都市都江堰市幸福街道祥瑞路与廖家桥路交汇处都乐锦庐西南角</t>
  </si>
  <si>
    <t xml:space="preserve">世纪烽火足球俱乐部</t>
  </si>
  <si>
    <t xml:space="preserve">成都市彭州市致和街道外南街285号</t>
  </si>
  <si>
    <t xml:space="preserve">优冠足球俱乐部</t>
  </si>
  <si>
    <t xml:space="preserve">成都市彭州市九尺镇希望路36号</t>
  </si>
  <si>
    <t xml:space="preserve">18628177798</t>
  </si>
  <si>
    <t xml:space="preserve">崇州市足球协会</t>
  </si>
  <si>
    <t xml:space="preserve">成都市足协会员协会；组建成年代表队参加2026“蓉超”；未查到青训资料</t>
  </si>
  <si>
    <t xml:space="preserve">https://c.m.163.com/news/a/KQL0GG2C05506BD2.html</t>
  </si>
  <si>
    <t xml:space="preserve">崇州市丰丰足球俱乐部</t>
  </si>
  <si>
    <t xml:space="preserve">成都市崇州市崇阳街道体育中心</t>
  </si>
  <si>
    <t xml:space="preserve">金堂县足球协会</t>
  </si>
  <si>
    <t xml:space="preserve">成都市足协会员协会；举办“金堂县足球协会杯”；未查到青训资料。金堂另建有市级认定的区级青训中心（见“全市/多区”）</t>
  </si>
  <si>
    <t xml:space="preserve">http://www.chengdufa.org.cn/fa/1?local=1</t>
  </si>
  <si>
    <t xml:space="preserve">绿茵小将足球俱乐部</t>
  </si>
  <si>
    <t xml:space="preserve">成都市金堂县康宁街92号</t>
  </si>
  <si>
    <t xml:space="preserve">-</t>
  </si>
  <si>
    <t xml:space="preserve">观岭足球青训中心</t>
  </si>
  <si>
    <t xml:space="preserve">https://huodong.com/venue/detail/xqhrmg</t>
  </si>
  <si>
    <t xml:space="preserve">金堂“互联网+中国足球小镇”（含国际足球学校，规划）</t>
  </si>
  <si>
    <t xml:space="preserve">四川足球俱乐部</t>
  </si>
  <si>
    <t xml:space="preserve">金堂县栖贤乡（规划）</t>
  </si>
  <si>
    <t xml:space="preserve">2015年签约</t>
  </si>
  <si>
    <t xml:space="preserve">规划投资50亿元，含国际足球学校</t>
  </si>
  <si>
    <t xml:space="preserve">https://m.fang.com/news/cd/0_17299263.html</t>
  </si>
  <si>
    <t xml:space="preserve">大邑名拯足球俱乐部</t>
  </si>
  <si>
    <t xml:space="preserve">大邑县元通路南段与张祠堂街交叉口附近</t>
  </si>
  <si>
    <t xml:space="preserve">社区型人工草足球场，面向青少年和成人</t>
  </si>
  <si>
    <t xml:space="preserve">https://huodong.com/venue/detail/eyL5i
https://huodong.com/venue/detail/bcgxtf</t>
  </si>
  <si>
    <t xml:space="preserve">大邑县足球协会</t>
  </si>
  <si>
    <t xml:space="preserve">成都市足协会员协会；县校园足球联赛由县文体旅局、教育局主办</t>
  </si>
  <si>
    <t xml:space="preserve">https://www.scjyxw.com/xiaoxue/news/20250408/1000010000412197.html</t>
  </si>
  <si>
    <t xml:space="preserve">腾龙足球俱乐部</t>
  </si>
  <si>
    <t xml:space="preserve">成都市大邑县晋原街道温泉路西段162号</t>
  </si>
  <si>
    <t xml:space="preserve">大邑县青少年业余体育学校</t>
  </si>
  <si>
    <t xml:space="preserve">县“十四五”规划提出打造足球等品牌项目；未见具体足球班资料</t>
  </si>
  <si>
    <t xml:space="preserve">http://sme-s.com/page91?article_id=4475</t>
  </si>
  <si>
    <t xml:space="preserve">蒲江县足球协会</t>
  </si>
  <si>
    <t xml:space="preserve">成都市足协会员协会；未查到青训资料</t>
  </si>
  <si>
    <t xml:space="preserve">https://baike.baidu.com/item/%E6%88%90%E9%83%BD%E5%B8%82%E8%B6%B3%E7%90%83%E5%8D%8F%E4%BC%9A/49724790</t>
  </si>
  <si>
    <t xml:space="preserve">蓉城弘纳青少儿足球俱乐部</t>
  </si>
  <si>
    <t xml:space="preserve">蓉城弘纳</t>
  </si>
  <si>
    <t xml:space="preserve">参加第一届中国青少年足球联赛（四川赛区）U9并小组出线；参与中国足协“种子计划进校园”成都站</t>
  </si>
  <si>
    <t xml:space="preserve">https://m.thepaper.cn/kuaibao_detail.jsp?contid=20782042&amp;from=kuaibao
https://cbgc.scol.com.cn/news/3975562</t>
  </si>
  <si>
    <t xml:space="preserve">所在区未确认</t>
  </si>
  <si>
    <t xml:space="preserve">成都市区级青训中心（青羊、金牛、成华、温江、金堂）</t>
  </si>
  <si>
    <t xml:space="preserve">成都在青羊、金牛、成华、温江、金堂建有5个区级青训中心（2025年报道）</t>
  </si>
  <si>
    <t xml:space="preserve">https://news.sina.com.cn/zx/2025-02-18/doc-inekwyzh6661516.shtml</t>
  </si>
  <si>
    <t xml:space="preserve">各中心具体名称与地址待向各区索取</t>
  </si>
  <si>
    <t xml:space="preserve">Mr. Football 英伦少年足球俱乐部</t>
  </si>
  <si>
    <t xml:space="preserve">Mr. Football</t>
  </si>
  <si>
    <t xml:space="preserve">学龄前至初中</t>
  </si>
  <si>
    <t xml:space="preserve">https://www.hub-soccer.com/?p=11143</t>
  </si>
  <si>
    <t xml:space="preserve">仅见2018年招聘信息，现状不明</t>
  </si>
  <si>
    <t xml:space="preserve">成都国际足球学院（CDIFA）</t>
  </si>
  <si>
    <t xml:space="preserve">CDIFA</t>
  </si>
  <si>
    <t xml:space="preserve">2015年报道：三环外美洲时尚体育公园</t>
  </si>
  <si>
    <t xml:space="preserve">地图收录：马克国际足球俱乐部（崇州市）成都市崇州市崇阳街道上林西江国际社区北侧</t>
  </si>
  <si>
    <t xml:space="preserve">2015年：5名外籍教练、70名5–15岁学员，英语授课</t>
  </si>
  <si>
    <t xml:space="preserve">5–15岁</t>
  </si>
  <si>
    <t xml:space="preserve">https://news.sina.cn/gn/2015-04-15/detail-iawzuney3477497.d.html?vt=4
https://chengdu-expat.com/international-football-academy-launched/
360地图 POI（restapi.map.so.com）</t>
  </si>
  <si>
    <t xml:space="preserve">数据为2015年</t>
  </si>
  <si>
    <t xml:space="preserve">腾盟足球俱乐部</t>
  </si>
  <si>
    <t xml:space="preserve">腾盟</t>
  </si>
  <si>
    <t xml:space="preserve">2007年以成都金牛足球俱乐部成立，2013-09-24更名腾盟（百度百科）</t>
  </si>
  <si>
    <t xml:space="preserve">较早调查：寒假培训人数由200增至240（年份未标注）；百科（未注明年份）：教练16名含亚足联职业级1名；约2017年调查称21名；百科称累计学员1000余名</t>
  </si>
  <si>
    <t xml:space="preserve">2016成都城市足球甲级联赛总决赛亚军（成都腾盟FF）</t>
  </si>
  <si>
    <t xml:space="preserve">https://m.sohu.com/n/479553636/?wscrid=95360_1
https://baike.baidu.com/item/%E6%88%90%E9%83%BD%E9%A8%B0%E7%9B%9F%E8%B6%B3%E7%90%83%E4%BF%B1%E6%A8%82%E9%83%A8/22473095</t>
  </si>
  <si>
    <t xml:space="preserve">区未确认</t>
  </si>
  <si>
    <t xml:space="preserve">花香盛世体育（品牌）</t>
  </si>
  <si>
    <t xml:space="preserve">花香盛世</t>
  </si>
  <si>
    <t xml:space="preserve">17个（目录信息，可能已过时）</t>
  </si>
  <si>
    <t xml:space="preserve">第三方目录列出17个成都校区/教学点（如西单、时光公园、曼巴等），小班6–12人；同时开设篮球、羽毛球、体适能</t>
  </si>
  <si>
    <t xml:space="preserve">https://m.youkee.com/xuexiao/cdhxss.html
https://m.youkee.com/kecheng/11810.html
https://news.qq.com/rain/a/20241028A03EF700
https://finance.sina.com.cn/jjxw/2024-11-23/doc-incwzvxr0133923.shtml</t>
  </si>
  <si>
    <t xml:space="preserve">校区分布于青羊、龙泉驿、郫都、金牛、成华、锦江等区；2024年10月北京母公司多店突然闭店、自称资金链断裂，2000余名家长登记投诉、涉及金额2000余万元；成都业务现状未知</t>
  </si>
  <si>
    <t xml:space="preserve">Barça Academy 成都（巴萨足球学校 / 夏令营）</t>
  </si>
  <si>
    <t xml:space="preserve">FC Barcelona</t>
  </si>
  <si>
    <t xml:space="preserve">城东足球公园（Chengdong Football Park）</t>
  </si>
  <si>
    <t xml:space="preserve">2015年FCBEscola营在成都体育学院开营；巴萨官网宣布重返中国，含成都营</t>
  </si>
  <si>
    <t xml:space="preserve">2015年从约500名报名者中选出120名学员</t>
  </si>
  <si>
    <t xml:space="preserve">https://barcaacademy.fcbarcelona.com/en/news/4522134/barca-academy-returns-to-china
https://www.cdsu.edu.cn/info/1054/37490.htm
https://www.chinanews.com.cn/m/ty/2015/07-19/7414290.shtml</t>
  </si>
  <si>
    <t xml:space="preserve">常设学校还是季节性营地未确认</t>
  </si>
  <si>
    <t xml:space="preserve">四川国米娃娃营青训学院</t>
  </si>
  <si>
    <t xml:space="preserve">国际米兰 × 娃娃营</t>
  </si>
  <si>
    <t xml:space="preserve">2017-11-29签约成立，国米在华第4家青训学院；现状未核实</t>
  </si>
  <si>
    <t xml:space="preserve">2017年成立时：覆盖59所学校、1410名4–18岁青少年；国米派2名意大利教练+30名中方教练（教练、学员数均为2017年数据）</t>
  </si>
  <si>
    <t xml:space="preserve">萨内蒂出席开幕</t>
  </si>
  <si>
    <t xml:space="preserve">https://www.inter.it/zh/news/2017-11-29-国米青训学院在中国的新发展
https://www.chinanews.com.cn/m/ty/2017/11-29/8388410.shtml
https://sports.cri.cn/20171130/87df7f6a-6e79-4fd8-ac89-c3118bcc909c.html</t>
  </si>
  <si>
    <t xml:space="preserve">学员数为2017年成立时数据</t>
  </si>
  <si>
    <t xml:space="preserve">皇马（中国）青少年足球训练营 · 成都</t>
  </si>
  <si>
    <t xml:space="preserve">皇家马德里基金会</t>
  </si>
  <si>
    <t xml:space="preserve">2015年7月起的冬/夏令营项目（非常设学校）</t>
  </si>
  <si>
    <t xml:space="preserve">7–17岁</t>
  </si>
  <si>
    <t xml:space="preserve">https://baike.baidu.com/item/%E7%9A%87%E9%A9%AC%EF%BC%88%E4%B8%AD%E5%9B%BD%EF%BC%89%E9%9D%92%E5%B0%91%E5%B9%B4%E8%B6%B3%E7%90%83%E8%AE%AD%E7%BB%83%E8%90%A5/17567316</t>
  </si>
  <si>
    <t xml:space="preserve">阿森纳（中国）足球学校成都分院</t>
  </si>
  <si>
    <t xml:space="preserve">Arsenal Soccer Schools</t>
  </si>
  <si>
    <t xml:space="preserve">寒假免费体验（较早报道）</t>
  </si>
  <si>
    <t xml:space="preserve">https://m.sohu.com/n/479553636/?wscrid=95360_1
https://sponsorship.sportbusiness.com/news/arsenal-pens-partnership-for-chinese-soccer-schools/</t>
  </si>
  <si>
    <t xml:space="preserve">现状不明</t>
  </si>
  <si>
    <t xml:space="preserve">成都蓉城足球俱乐部青训</t>
  </si>
  <si>
    <t xml:space="preserve">成都蓉城</t>
  </si>
  <si>
    <t xml:space="preserve">成都市锦江区茶花街与杨树街交叉口西北20米</t>
  </si>
  <si>
    <t xml:space="preserve">微博 @成都蓉城足球俱乐部</t>
  </si>
  <si>
    <t xml:space="preserve">俱乐部2018-03-07工商注册（兴城集团与德瑞组建）</t>
  </si>
  <si>
    <t xml:space="preserve">2023年：U13、U14、U15、U17、U19五支梯队及U21预备队；B队征战中乙。西甲联盟专家认为梯队仍需细化；2024年：U8–U19日常训练260余名（经德瑞体系）</t>
  </si>
  <si>
    <t xml:space="preserve">U13–U21</t>
  </si>
  <si>
    <t xml:space="preserve">2024年22名梯队球员入选各级国字号；与西甲联盟开展战略青训合作；合作学校含棠外、列五、棠中</t>
  </si>
  <si>
    <t xml:space="preserve">https://cbgc.scol.com.cn/news/7684664
https://paper.people.com.cn/rmrb/html/2023-06/15/nw.D110000renmrb_20230615_2-08.htm
https://finance.sina.cn/2026-01-23/detail-inhifvnc6670494.d.html
https://www.cdrb.com.cn/epaper/cdrbpc/202303/24/c112339.html
https://news.qq.com/rain/a/20250322A04DVW00
360地图 POI（restapi.map.so.com）
https://huodong.com/venue/detail/lqmfte
https://m.sohu.com/a/792586022_121106884/?pvid=000115_3w_a
https://www.sohu.com/a/876115009_121124668</t>
  </si>
  <si>
    <t xml:space="preserve">青训基地具体地址未获公开来源确认</t>
  </si>
  <si>
    <t xml:space="preserve">成都市足球协会</t>
  </si>
  <si>
    <t xml:space="preserve">成都市金牛区一环路西三段196号（注册地址）</t>
  </si>
  <si>
    <t xml:space="preserve">官网 chengdufa.org.cn</t>
  </si>
  <si>
    <t xml:space="preserve">百度百科：1992年3月29日成立；5A级社团，主管单位成都市体育局</t>
  </si>
  <si>
    <t xml:space="preserve">温江基地；FF足球公园（多数来源称在青羊区光华大道一段）；地图收录：四川省足球协会（武侯区）成都市武侯区玉林街道一环路南3段-16号-附36号；地图收录：成都市足球协会（温江区）成都市温江区天府街道金府路；地图收录：成都市青白江区足球协会（青白江区）成都市青白江区大同西路4号；地图收录：郫都区足球协会（郫都区）成都市郫都区郫筒街道成灌西路152号附12号；地图收录：武侯区足球协会（武侯区）成都市武侯区机投桥街道九康四路；地图收录：金堂县足球协会（金堂县）成都市金堂县金广路与江城路交叉口南320米；地图收录：邛崃市足球协会（邛崃市）成都市邛崃市君平大道100号；地图收录：都江堰市足球协会（都江堰市）成都市都江堰市银杏街道尚阳大道76号；地图收录：成都市温江区足球协会（温江区）成都市温江区柳城街道凤溪大道北段55号；地图收录：成都市温江区足球协会基地（温江区）成都市温江区范围内；地图收录：成都市温江区足球球迷协会（温江区）成都市温江区柳城街道南浦路西段与柳浪湾北三巷交叉路口东侧(柳浪湾北三巷7号院)；地图收录：成都市双流区足球运动协会（双流区）成都市双流区东升街道花园路体育中心；地图收录：彭州市篮球协会青训基地（彭州市）成都市彭州市天府西路198号</t>
  </si>
  <si>
    <t xml:space="preserve">注册地址在金牛区。以23个区（市）县足协为会员体系；管理温江培训基地、FF足球公园、城东足球公园。2025年举办17项市级青少年赛事：2068支队、2.5万余名球员、5739场（人民日报2026-01-27）。“蓉城杯”青训俱乐部联赛2016年起举办（2023-24赛季48队、6个级别）。约2016年报道：在足协备案的青少年俱乐部超过50家</t>
  </si>
  <si>
    <t xml:space="preserve">2026年1月中国足协确定成都为5个共建大区青训中心城市之一（覆盖川滇黔，13–15岁）；成都U15获2025巴西“艾雪杯”冠军；成都蓉城一线队约40%、B队约60%球员出自成都足协（德瑞）青训体系</t>
  </si>
  <si>
    <t xml:space="preserve">https://www.thecfa.cn/huiyuandanwei/
https://baike.baidu.com/item/%E6%88%90%E9%83%BD%E5%B8%82%E8%B6%B3%E7%90%83%E5%8D%8F%E4%BC%9A/49724790
https://www.thecfa.cn/qxunzx/20180903/24556.html
http://paper.people.com.cn/rmrb/pc/content/202601/27/content_30135893.html
https://news.chengdu.cn/2026/0127/69786dee6399f93fa7c79b43.shtml?phone=yes
http://www.chengdufa.org.cn/fa/1?local=1
360地图 POI（restapi.map.so.com）
https://huodong.com/venue/detail/zhssai
https://huodong.com/venue/detail/kmvfee
https://huodong.com/venue/detail/wtucfb</t>
  </si>
  <si>
    <t xml:space="preserve">成都足协德瑞足球培训中心（成都德瑞足球培训中心有限公司）</t>
  </si>
  <si>
    <t xml:space="preserve">德瑞（早期名“中法德瑞”）</t>
  </si>
  <si>
    <t xml:space="preserve">工商注册地：高新区西部区银河东路15幢；训练：成都足协温江基地、FF足球公园（青羊区）</t>
  </si>
  <si>
    <t xml:space="preserve">2002年由成都足协与法国梅斯俱乐部合作创立；公司2004-09-28登记；2018年与兴城集团共同出资组建成都蓉城前身；另有资料以公司登记年份2004为成立年份</t>
  </si>
  <si>
    <t xml:space="preserve">温江基地；FF足球公园</t>
  </si>
  <si>
    <t xml:space="preserve">2024年访谈：U8–U19男足全年龄段梯队，日常训练260余名（学员数取此口径）。其他口径：早期推介页称球员600余名、教练50名（外教4名）；百科称在训500余名、教练60余名。重点年龄段配葡萄牙外教团队</t>
  </si>
  <si>
    <t xml:space="preserve">U8–U19</t>
  </si>
  <si>
    <t xml:space="preserve">国家体育总局称蓉城一线队13人（约40%）出自德瑞；向成外、列五、棠外、棠中等布点校输送；2024年22名蓉城梯队球员入选各级国字号</t>
  </si>
  <si>
    <t xml:space="preserve">https://baike.baidu.com/item/%E6%88%90%E9%83%BD%E5%BE%B7%E7%91%9E%E8%B6%B3%E7%90%83%E5%9F%B9%E8%AE%AD%E4%B8%AD%E5%BF%83%E6%9C%89%E9%99%90%E5%85%AC%E5%8F%B8/55877523
https://sports.sina.cn/china/other/2018-03-22/detail-ifysnevk4889363.d.html
https://www.sport.gov.cn/n20001280/n20745751/c28915902/content.html
https://m.dongqiudi.com/article/4391545.html
https://view.inews.qq.com/a/20240712A02JQ300</t>
  </si>
  <si>
    <t xml:space="preserve">动因体育（成都）</t>
  </si>
  <si>
    <t xml:space="preserve">动因体育</t>
  </si>
  <si>
    <t xml:space="preserve">先锋店：成华区一环东路三段170号</t>
  </si>
  <si>
    <t xml:space="preserve">乐宾、金沙、迎晖路、青龙、翡翠城、东坡、优品道、红牌楼、凯德风尚、九眼桥、杰喜美、先锋</t>
  </si>
  <si>
    <t xml:space="preserve">品牌面向4–17岁，项目含足球、篮球等；所列成都门店多标注为篮球</t>
  </si>
  <si>
    <t xml:space="preserve">4–17岁</t>
  </si>
  <si>
    <t xml:space="preserve">https://www.youkee.com/xiaoqu/16808.html
https://baike.baidu.com/item/%E5%8A%A8%E5%9B%A0%E4%BD%93%E8%82%B2/22313895</t>
  </si>
  <si>
    <t xml:space="preserve">未确认有门店开设足球课</t>
  </si>
  <si>
    <t xml:space="preserve">场馆名称</t>
  </si>
  <si>
    <t xml:space="preserve">地址</t>
  </si>
  <si>
    <t xml:space="preserve">电话</t>
  </si>
  <si>
    <t xml:space="preserve">来源</t>
  </si>
  <si>
    <t xml:space="preserve">备注</t>
  </si>
  <si>
    <t xml:space="preserve">中锦驿动足球场</t>
  </si>
  <si>
    <t xml:space="preserve">成都市锦江区静沙北路与静秀路交叉口西北50米</t>
  </si>
  <si>
    <t xml:space="preserve">众禾双桥子足球公园</t>
  </si>
  <si>
    <t xml:space="preserve">成都市锦江区双桥子南快速公交站前10米</t>
  </si>
  <si>
    <t xml:space="preserve">兴城足球公园</t>
  </si>
  <si>
    <t xml:space="preserve">成都市锦江区百日红中路蓝润V客东都-1期南侧约50米</t>
  </si>
  <si>
    <t xml:space="preserve">塔子山九天足球场</t>
  </si>
  <si>
    <t xml:space="preserve">https://huodong.com/venue/detail/gjwsre</t>
  </si>
  <si>
    <t xml:space="preserve">天际线麒志体育足球公园</t>
  </si>
  <si>
    <t xml:space="preserve">https://huodong.com/venue/detail/grroqj</t>
  </si>
  <si>
    <t xml:space="preserve">成都兴城邻里足球公园</t>
  </si>
  <si>
    <t xml:space="preserve">https://huodong.com/venue/detail/gasacr</t>
  </si>
  <si>
    <t xml:space="preserve">晨辉路公园足球基地</t>
  </si>
  <si>
    <t xml:space="preserve">https://huodong.com/venue/detail/nhqkcg</t>
  </si>
  <si>
    <t xml:space="preserve">经天320足球公园</t>
  </si>
  <si>
    <t xml:space="preserve">成都市锦江区经天西路320号</t>
  </si>
  <si>
    <t xml:space="preserve">香樟社区足球场</t>
  </si>
  <si>
    <t xml:space="preserve">成都市锦江区吉树街绿地中心云玺468</t>
  </si>
  <si>
    <t xml:space="preserve">FF足球公园</t>
  </si>
  <si>
    <t xml:space="preserve">https://huodong.com/venue/detail/jjobew</t>
  </si>
  <si>
    <t xml:space="preserve">WePark玩湃社区智慧足球公园</t>
  </si>
  <si>
    <t xml:space="preserve">https://huodong.com/venue/detail/krvjel</t>
  </si>
  <si>
    <t xml:space="preserve">东坡体育公园足球场</t>
  </si>
  <si>
    <t xml:space="preserve">https://huodong.com/venue/detail/lbfbta</t>
  </si>
  <si>
    <t xml:space="preserve">大公园-足球场</t>
  </si>
  <si>
    <t xml:space="preserve">成都市青羊区蔡桥街道光华大道一段1666号</t>
  </si>
  <si>
    <t xml:space="preserve">康达园足球场</t>
  </si>
  <si>
    <t xml:space="preserve">成都市青羊区纬八路成飞康达园东侧约60米</t>
  </si>
  <si>
    <t xml:space="preserve">星工场足球场</t>
  </si>
  <si>
    <t xml:space="preserve">成都市青羊区金沙街道金鹏街中大君悦金沙北侧</t>
  </si>
  <si>
    <t xml:space="preserve">青羊区光华大道蔡桥足球场</t>
  </si>
  <si>
    <t xml:space="preserve">成都市青羊区光华大道二段</t>
  </si>
  <si>
    <t xml:space="preserve">13558731323</t>
  </si>
  <si>
    <t xml:space="preserve">五粮液文化体育中心专业足球场</t>
  </si>
  <si>
    <t xml:space="preserve">https://huodong.com/venue/detail/vugjno</t>
  </si>
  <si>
    <t xml:space="preserve">兴恒足球公园</t>
  </si>
  <si>
    <t xml:space="preserve">https://huodong.com/venue/detail/twppoa</t>
  </si>
  <si>
    <t xml:space="preserve">凤凰山体育公园-户外足球场</t>
  </si>
  <si>
    <t xml:space="preserve">成都市金牛区天回镇街道荣德路80号</t>
  </si>
  <si>
    <t xml:space="preserve">凤凰山体育公园专业足球场</t>
  </si>
  <si>
    <t xml:space="preserve">成都市金牛区天回镇街道范围内</t>
  </si>
  <si>
    <t xml:space="preserve">凤凰山体育公园户外足球场</t>
  </si>
  <si>
    <t xml:space="preserve">https://huodong.com/venue/detail/bawbsv</t>
  </si>
  <si>
    <t xml:space="preserve">成都金沙足球公园</t>
  </si>
  <si>
    <t xml:space="preserve">成都市金牛区茶店子街道范围内</t>
  </si>
  <si>
    <t xml:space="preserve">沙河源公园-足球场</t>
  </si>
  <si>
    <t xml:space="preserve">成都市金牛区九里堤北路88号(沙河源公园)</t>
  </si>
  <si>
    <t xml:space="preserve">羊犀足球场</t>
  </si>
  <si>
    <t xml:space="preserve">成都市金牛区黄金东一路56号</t>
  </si>
  <si>
    <t xml:space="preserve">13982252485</t>
  </si>
  <si>
    <t xml:space="preserve">金牛体育中心-足球场</t>
  </si>
  <si>
    <t xml:space="preserve">成都市金牛区茶店子街道金牛体育中心</t>
  </si>
  <si>
    <t xml:space="preserve">金牛体育中心足球场</t>
  </si>
  <si>
    <t xml:space="preserve">https://huodong.com/venue/detail/mjgjso</t>
  </si>
  <si>
    <t xml:space="preserve">金牛足球公园</t>
  </si>
  <si>
    <t xml:space="preserve">成都市金牛区黄金路</t>
  </si>
  <si>
    <t xml:space="preserve">Joma BCN外双楠足球场</t>
  </si>
  <si>
    <t xml:space="preserve">成都市武侯区吉顺街88号</t>
  </si>
  <si>
    <t xml:space="preserve">15982055921</t>
  </si>
  <si>
    <t xml:space="preserve">丽都公园-足球场</t>
  </si>
  <si>
    <t xml:space="preserve">成都市武侯区丽都路1号附1号</t>
  </si>
  <si>
    <t xml:space="preserve">13408631001</t>
  </si>
  <si>
    <t xml:space="preserve">五大花园体育运动公园-五人制足球场</t>
  </si>
  <si>
    <t xml:space="preserve">成都市武侯区晋吉东二街256号五大花园体育运动公园</t>
  </si>
  <si>
    <t xml:space="preserve">四川成都足球广场</t>
  </si>
  <si>
    <t xml:space="preserve">成都市武侯区太平寺西路</t>
  </si>
  <si>
    <t xml:space="preserve">四川新北足球中心</t>
  </si>
  <si>
    <t xml:space="preserve">https://huodong.com/venue/detail/cixjsi</t>
  </si>
  <si>
    <t xml:space="preserve">成都大牛足球公园</t>
  </si>
  <si>
    <t xml:space="preserve">成都市武侯区武阳大道一段268号西北方向90米</t>
  </si>
  <si>
    <t xml:space="preserve">19141929971</t>
  </si>
  <si>
    <t xml:space="preserve">武侯足球公园</t>
  </si>
  <si>
    <t xml:space="preserve">成都市武侯区潮音路62号</t>
  </si>
  <si>
    <t xml:space="preserve">028-83384455</t>
  </si>
  <si>
    <t xml:space="preserve">水韵园综合教育基地足球场</t>
  </si>
  <si>
    <t xml:space="preserve">成都市武侯区金花桥街道映月西街映月颐园17幢正西方向170米</t>
  </si>
  <si>
    <t xml:space="preserve">润林足球场</t>
  </si>
  <si>
    <t xml:space="preserve">https://huodong.com/venue/detail/yrbrzt</t>
  </si>
  <si>
    <t xml:space="preserve">潮音水岸篮球足球场</t>
  </si>
  <si>
    <t xml:space="preserve">https://huodong.com/venue/detail/trxnhl</t>
  </si>
  <si>
    <t xml:space="preserve">皇家YS足球场</t>
  </si>
  <si>
    <t xml:space="preserve">成都市武侯区桂溪街道科华南路和平小区四期(东苑B区西)</t>
  </si>
  <si>
    <t xml:space="preserve">空港足球公园</t>
  </si>
  <si>
    <t xml:space="preserve">成都市武侯区珠江北路11号成都台双医院附近</t>
  </si>
  <si>
    <t xml:space="preserve">翊宸足球公园</t>
  </si>
  <si>
    <t xml:space="preserve">成都市武侯区新园大道17号</t>
  </si>
  <si>
    <t xml:space="preserve">跳跳体育足球运动公园</t>
  </si>
  <si>
    <t xml:space="preserve">成都市武侯区机投桥街道川九路半边街新居西区西北角</t>
  </si>
  <si>
    <t xml:space="preserve">东方足球场</t>
  </si>
  <si>
    <t xml:space="preserve">成都市成华区杉板桥南三路55号</t>
  </si>
  <si>
    <t xml:space="preserve">028-83278273</t>
  </si>
  <si>
    <t xml:space="preserve">城东足球公园</t>
  </si>
  <si>
    <t xml:space="preserve">https://huodong.com/venue/detail/dlcrox</t>
  </si>
  <si>
    <t xml:space="preserve">城市仁德足球公园</t>
  </si>
  <si>
    <t xml:space="preserve">成都市成华区龙潭街道</t>
  </si>
  <si>
    <t xml:space="preserve">城投青和·本直东九运动公园足球场</t>
  </si>
  <si>
    <t xml:space="preserve">https://huodong.com/venue/detail/ainizt</t>
  </si>
  <si>
    <t xml:space="preserve">成东·11号足球公园</t>
  </si>
  <si>
    <t xml:space="preserve">https://huodong.com/venue/detail/foxwbr</t>
  </si>
  <si>
    <t xml:space="preserve">成华圣灯公园-足球场</t>
  </si>
  <si>
    <t xml:space="preserve">成都市成华区成华大道和物流大道交汇处成华圣灯公园</t>
  </si>
  <si>
    <t xml:space="preserve">成都仕艾康足球运动中心</t>
  </si>
  <si>
    <t xml:space="preserve">成都市成华区跳蹬河北路公交站斜对面</t>
  </si>
  <si>
    <t xml:space="preserve">本直东九运动公园足球场</t>
  </si>
  <si>
    <t xml:space="preserve">成都市成华区范围内</t>
  </si>
  <si>
    <t xml:space="preserve">爱球青龙场五人制足球场</t>
  </si>
  <si>
    <t xml:space="preserve">https://huodong.com/venue/detail/cvsgbb</t>
  </si>
  <si>
    <t xml:space="preserve">中和T98足球场</t>
  </si>
  <si>
    <t xml:space="preserve">成都市高新区中和街道中柏大道延长壳牌加油站以东200米</t>
  </si>
  <si>
    <t xml:space="preserve">东安湖公园运动岛足球场</t>
  </si>
  <si>
    <t xml:space="preserve">https://huodong.com/venue/detail/mmyjrt</t>
  </si>
  <si>
    <t xml:space="preserve">中国现代五项赛事中心-足球场</t>
  </si>
  <si>
    <t xml:space="preserve">https://huodong.com/venue/detail/zwyzvn</t>
  </si>
  <si>
    <t xml:space="preserve">叁分足球公园</t>
  </si>
  <si>
    <t xml:space="preserve">https://huodong.com/venue/detail/qxmpkw</t>
  </si>
  <si>
    <t xml:space="preserve">海创园足球场</t>
  </si>
  <si>
    <t xml:space="preserve">https://huodong.com/venue/detail/exbznr</t>
  </si>
  <si>
    <t xml:space="preserve">红石足球公园</t>
  </si>
  <si>
    <t xml:space="preserve">https://huodong.com/venue/detail/fgkgtq</t>
  </si>
  <si>
    <t xml:space="preserve">贝跃动室外足球场(方圆荟TOPARK店)</t>
  </si>
  <si>
    <t xml:space="preserve">https://huodong.com/venue/detail/gxwsqi</t>
  </si>
  <si>
    <t xml:space="preserve">东安湖体育公园室外足球场</t>
  </si>
  <si>
    <t xml:space="preserve">成都市龙泉驿区东安街道范围内</t>
  </si>
  <si>
    <t xml:space="preserve">动影聚创十陵足球场-成人竞训中心</t>
  </si>
  <si>
    <t xml:space="preserve">https://huodong.com/venue/detail/uszjck</t>
  </si>
  <si>
    <t xml:space="preserve">国际足球村</t>
  </si>
  <si>
    <t xml:space="preserve">成都市龙泉驿区忠北路与忠诚路交叉口东南200米</t>
  </si>
  <si>
    <t xml:space="preserve">成都市龙泉驿阳光城专业足球场</t>
  </si>
  <si>
    <t xml:space="preserve">成都市龙泉驿区忠北路180号</t>
  </si>
  <si>
    <t xml:space="preserve">百灵鸟FDSP踢球者足球公园</t>
  </si>
  <si>
    <t xml:space="preserve">成都市龙泉驿区大面街道惠王陵东路508号</t>
  </si>
  <si>
    <t xml:space="preserve">诺坎普足球平衡车滑步车公园</t>
  </si>
  <si>
    <t xml:space="preserve">https://huodong.com/venue/detail/ixzxdx</t>
  </si>
  <si>
    <t xml:space="preserve">川化时光驿站足球场</t>
  </si>
  <si>
    <t xml:space="preserve">https://huodong.com/venue/detail/znadog</t>
  </si>
  <si>
    <t xml:space="preserve">成都市青白江区文体中心-足球场</t>
  </si>
  <si>
    <t xml:space="preserve">成都市青白江区凤凰西七路366号(成都市青白江区文体中心)</t>
  </si>
  <si>
    <t xml:space="preserve">成都第一足球村</t>
  </si>
  <si>
    <t xml:space="preserve">https://huodong.com/venue/detail/kpljap</t>
  </si>
  <si>
    <t xml:space="preserve">斑竹园足球音乐小镇</t>
  </si>
  <si>
    <t xml:space="preserve">成都市新都区斑竹园足球音乐小镇</t>
  </si>
  <si>
    <t xml:space="preserve">新都区三河村足球场</t>
  </si>
  <si>
    <t xml:space="preserve">成都市新都区斑竹园街道范围内</t>
  </si>
  <si>
    <t xml:space="preserve">新都香城体育中心足球场</t>
  </si>
  <si>
    <t xml:space="preserve">成都市新都区新都街道范围内</t>
  </si>
  <si>
    <t xml:space="preserve">道之龙体育足球场</t>
  </si>
  <si>
    <t xml:space="preserve">https://huodong.com/venue/detail/ylgobt</t>
  </si>
  <si>
    <t xml:space="preserve">香城体育中心5人制足球场</t>
  </si>
  <si>
    <t xml:space="preserve">成都市新都区兴乐北路188正东方向170米</t>
  </si>
  <si>
    <t xml:space="preserve">香城体育中心7人制足球场</t>
  </si>
  <si>
    <t xml:space="preserve">成都市新都区兴乐北路88正东方向140米</t>
  </si>
  <si>
    <t xml:space="preserve">20号足球公园</t>
  </si>
  <si>
    <t xml:space="preserve">成都市双流区杭州路东段与蜀州路交叉口西南150米</t>
  </si>
  <si>
    <t xml:space="preserve">会龙公园足球场</t>
  </si>
  <si>
    <t xml:space="preserve">成都市双流区华府大道一段与观音湾路交叉口东320米</t>
  </si>
  <si>
    <t xml:space="preserve">动影三利星源足球场-成人竞训中心</t>
  </si>
  <si>
    <t xml:space="preserve">成都市双流区万东南一路与万东路交叉口东南200米</t>
  </si>
  <si>
    <t xml:space="preserve">千竞足球中心(空港运动公园店)</t>
  </si>
  <si>
    <t xml:space="preserve">成都市双流区范围内</t>
  </si>
  <si>
    <t xml:space="preserve">双流体育中心-五人制足球场</t>
  </si>
  <si>
    <t xml:space="preserve">成都市双流区银河路五段20双流体育中心内</t>
  </si>
  <si>
    <t xml:space="preserve">13568918875</t>
  </si>
  <si>
    <t xml:space="preserve">天翼足球公园</t>
  </si>
  <si>
    <t xml:space="preserve">成都市双流区金河路66号</t>
  </si>
  <si>
    <t xml:space="preserve">川投五人制足球场</t>
  </si>
  <si>
    <t xml:space="preserve">成都市双流区金河路66号四川国际网球中心内</t>
  </si>
  <si>
    <t xml:space="preserve">028-85893566</t>
  </si>
  <si>
    <t xml:space="preserve">成都谢菲联足球公园</t>
  </si>
  <si>
    <t xml:space="preserve">成都市双流区金河路与航园路交汇处附近西北</t>
  </si>
  <si>
    <t xml:space="preserve">毛家湾足球训练基地</t>
  </si>
  <si>
    <t xml:space="preserve">成都市双流区正兴街道回龙井附近</t>
  </si>
  <si>
    <t xml:space="preserve">西赞·酷玛足球公园</t>
  </si>
  <si>
    <t xml:space="preserve">锐博足球公园</t>
  </si>
  <si>
    <t xml:space="preserve">成都市双流区正东下街</t>
  </si>
  <si>
    <t xml:space="preserve">10号足球公园</t>
  </si>
  <si>
    <t xml:space="preserve">成都市郫都区科化二路杜鹃路38号</t>
  </si>
  <si>
    <t xml:space="preserve">18180555898</t>
  </si>
  <si>
    <t xml:space="preserve">创客足球运动中心</t>
  </si>
  <si>
    <t xml:space="preserve">成都市郫都区德源街道展望东路与胜利北街交汇处创新展览中心西侧</t>
  </si>
  <si>
    <t xml:space="preserve">天河足球场</t>
  </si>
  <si>
    <t xml:space="preserve">成都市郫都区天河路288号</t>
  </si>
  <si>
    <t xml:space="preserve">18628373081</t>
  </si>
  <si>
    <t xml:space="preserve">戴蒙·西区八人制足球场</t>
  </si>
  <si>
    <t xml:space="preserve">https://huodong.com/venue/detail/uqpiyo</t>
  </si>
  <si>
    <t xml:space="preserve">犀和足球场</t>
  </si>
  <si>
    <t xml:space="preserve">成都市郫都区校园路与曲锦路交叉路口往西南约100米</t>
  </si>
  <si>
    <t xml:space="preserve">犀浦荣胜足球场</t>
  </si>
  <si>
    <t xml:space="preserve">成都市郫都区王公堰路与石亭路交叉口西南300米</t>
  </si>
  <si>
    <t xml:space="preserve">筑桥足球场</t>
  </si>
  <si>
    <t xml:space="preserve">https://huodong.com/venue/detail/imktcz</t>
  </si>
  <si>
    <t xml:space="preserve">迪卡侬免费运动场-足球场</t>
  </si>
  <si>
    <t xml:space="preserve">成都市郫都区中信大道一段103迪卡侬</t>
  </si>
  <si>
    <t xml:space="preserve">郫都区市民体育公园足球场</t>
  </si>
  <si>
    <t xml:space="preserve">https://huodong.com/venue/detail/lfpjdo</t>
  </si>
  <si>
    <t xml:space="preserve">雷速益动足球公园</t>
  </si>
  <si>
    <t xml:space="preserve">https://huodong.com/venue/detail/yoyoay</t>
  </si>
  <si>
    <t xml:space="preserve">百溪堰五人制足球场</t>
  </si>
  <si>
    <t xml:space="preserve">成都市新津区五津街道太中东街与清源路交汇处津城绿地东区东侧</t>
  </si>
  <si>
    <t xml:space="preserve">简阳市体育中心-足球场</t>
  </si>
  <si>
    <t xml:space="preserve">成都市简阳市体育中心内</t>
  </si>
  <si>
    <t xml:space="preserve">15760024700</t>
  </si>
  <si>
    <t xml:space="preserve">海航·中国集·锦润青城-足球场</t>
  </si>
  <si>
    <t xml:space="preserve">成都市都江堰市海航中国集·锦润青城西北门(海航·中国集·锦润青城)</t>
  </si>
  <si>
    <t xml:space="preserve">竟扬体育足球公园</t>
  </si>
  <si>
    <t xml:space="preserve">https://huodong.com/venue/detail/qsnabe</t>
  </si>
  <si>
    <t xml:space="preserve">圣力凯运动中心-足球场</t>
  </si>
  <si>
    <t xml:space="preserve">成都市彭州市天彭街道天府西路198号</t>
  </si>
  <si>
    <t xml:space="preserve">崇州市体育中心-足球场</t>
  </si>
  <si>
    <t xml:space="preserve">成都市崇州市崇阳街道兴体街与英姿街交汇处体育中心</t>
  </si>
  <si>
    <t xml:space="preserve">众恒泰足球公园</t>
  </si>
  <si>
    <t xml:space="preserve">成都市大邑县桃源大道139号</t>
  </si>
  <si>
    <t xml:space="preserve">本次公开检索未找到该区域可核实的机构，待通过体育局白名单 / 大众点评补采。</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</si>
</sst>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0B2545"/>
      <name val="Microsoft YaHei"/>
      <family val="0"/>
      <charset val="1"/>
    </font>
    <font>
      <sz val="10"/>
      <color rgb="FF5A6B80"/>
      <name val="Microsoft YaHei"/>
      <family val="0"/>
      <charset val="1"/>
    </font>
    <font>
      <b val="true"/>
      <sz val="10"/>
      <color rgb="FF0B2545"/>
      <name val="Microsoft YaHei"/>
      <family val="0"/>
      <charset val="1"/>
    </font>
    <font>
      <sz val="10"/>
      <color rgb="FF0000FF"/>
      <name val="Microsoft YaHei"/>
      <family val="0"/>
      <charset val="1"/>
    </font>
    <font>
      <sz val="9"/>
      <color rgb="FF5A6B80"/>
      <name val="Microsoft YaHei"/>
      <family val="0"/>
      <charset val="1"/>
    </font>
    <font>
      <sz val="10"/>
      <color rgb="FF13202F"/>
      <name val="Microsoft YaHei"/>
      <family val="0"/>
      <charset val="1"/>
    </font>
    <font>
      <sz val="10"/>
      <name val="Microsoft YaHei"/>
      <family val="0"/>
      <charset val="1"/>
    </font>
    <font>
      <b val="true"/>
      <sz val="10"/>
      <color rgb="FFFFFFFF"/>
      <name val="Microsoft YaHei"/>
      <family val="0"/>
      <charset val="1"/>
    </font>
    <font>
      <b val="true"/>
      <sz val="10"/>
      <name val="Microsoft YaHei"/>
      <family val="0"/>
      <charset val="1"/>
    </font>
    <font>
      <sz val="9.5"/>
      <name val="Microsoft YaHei"/>
      <family val="0"/>
      <charset val="1"/>
    </font>
    <font>
      <sz val="8"/>
      <color rgb="FF1E6FB8"/>
      <name val="Microsoft YaHei"/>
      <family val="0"/>
      <charset val="1"/>
    </font>
  </fonts>
  <fills count="5">
    <fill>
      <patternFill patternType="none"/>
    </fill>
    <fill>
      <patternFill patternType="gray125"/>
    </fill>
    <fill>
      <patternFill patternType="solid">
        <fgColor rgb="FFFFF4CC"/>
        <bgColor rgb="FFFFFFFF"/>
      </patternFill>
    </fill>
    <fill>
      <patternFill patternType="solid">
        <fgColor rgb="FF04518E"/>
        <bgColor rgb="FF1E6FB8"/>
      </patternFill>
    </fill>
    <fill>
      <patternFill patternType="solid">
        <fgColor rgb="FFE6EEF6"/>
        <bgColor rgb="FFFFFFFF"/>
      </patternFill>
    </fill>
  </fills>
  <borders count="2">
    <border diagonalUp="false" diagonalDown="false">
      <left/>
      <right/>
      <top/>
      <bottom/>
      <diagonal/>
    </border>
    <border diagonalUp="false" diagonalDown="false">
      <left style="thin">
        <color rgb="FFC9D5E3"/>
      </left>
      <right style="thin">
        <color rgb="FFC9D5E3"/>
      </right>
      <top style="thin">
        <color rgb="FFC9D5E3"/>
      </top>
      <bottom style="thin">
        <color rgb="FFC9D5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left" vertical="bottom" textRotation="0" wrapText="false" indent="0" shrinkToFit="false"/>
      <protection locked="true" hidden="false"/>
    </xf>
    <xf numFmtId="165" fontId="12" fillId="4"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4518E"/>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1E6FB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6EEF6"/>
      <rgbColor rgb="FF660066"/>
      <rgbColor rgb="FFFF8080"/>
      <rgbColor rgb="FF1E6FB8"/>
      <rgbColor rgb="FFC9D5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80"/>
      <rgbColor rgb="FF969696"/>
      <rgbColor rgb="FF0B2545"/>
      <rgbColor rgb="FF339966"/>
      <rgbColor rgb="FF003300"/>
      <rgbColor rgb="FF333300"/>
      <rgbColor rgb="FF993300"/>
      <rgbColor rgb="FF993366"/>
      <rgbColor rgb="FF04518E"/>
      <rgbColor rgb="FF1320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ables/table1.xml><?xml version="1.0" encoding="utf-8"?>
<table xmlns="http://schemas.openxmlformats.org/spreadsheetml/2006/main" id="1" name="T00" displayName="T00" ref="A1:AB11" headerRowCount="1" totalsRowCount="0" totalsRowShown="0">
  <autoFilter ref="A1:AB11"/>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xml><?xml version="1.0" encoding="utf-8"?>
<table xmlns="http://schemas.openxmlformats.org/spreadsheetml/2006/main" id="2" name="T01" displayName="T01"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3.xml><?xml version="1.0" encoding="utf-8"?>
<table xmlns="http://schemas.openxmlformats.org/spreadsheetml/2006/main" id="3" name="T02" displayName="T02"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4.xml><?xml version="1.0" encoding="utf-8"?>
<table xmlns="http://schemas.openxmlformats.org/spreadsheetml/2006/main" id="4" name="T03" displayName="T03" ref="A1:AB15" headerRowCount="1" totalsRowCount="0" totalsRowShown="0">
  <autoFilter ref="A1:AB1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5.xml><?xml version="1.0" encoding="utf-8"?>
<table xmlns="http://schemas.openxmlformats.org/spreadsheetml/2006/main" id="5" name="T04" displayName="T04" ref="A1:AB9" headerRowCount="1" totalsRowCount="0" totalsRowShown="0">
  <autoFilter ref="A1:AB9"/>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6.xml><?xml version="1.0" encoding="utf-8"?>
<table xmlns="http://schemas.openxmlformats.org/spreadsheetml/2006/main" id="6" name="T05" displayName="T05" ref="A1:AB6" headerRowCount="1" totalsRowCount="0" totalsRowShown="0">
  <autoFilter ref="A1:AB6"/>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7.xml><?xml version="1.0" encoding="utf-8"?>
<table xmlns="http://schemas.openxmlformats.org/spreadsheetml/2006/main" id="7" name="T06" displayName="T06"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8.xml><?xml version="1.0" encoding="utf-8"?>
<table xmlns="http://schemas.openxmlformats.org/spreadsheetml/2006/main" id="8" name="T08" displayName="T08"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9.xml><?xml version="1.0" encoding="utf-8"?>
<table xmlns="http://schemas.openxmlformats.org/spreadsheetml/2006/main" id="9" name="T09" displayName="T09" ref="A1:AB2" headerRowCount="1" totalsRowCount="0" totalsRowShown="0">
  <autoFilter ref="A1:AB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0.xml><?xml version="1.0" encoding="utf-8"?>
<table xmlns="http://schemas.openxmlformats.org/spreadsheetml/2006/main" id="10" name="T10" displayName="T10" ref="A1:AB7" headerRowCount="1" totalsRowCount="0" totalsRowShown="0">
  <autoFilter ref="A1:AB7"/>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1.xml><?xml version="1.0" encoding="utf-8"?>
<table xmlns="http://schemas.openxmlformats.org/spreadsheetml/2006/main" id="11" name="T11" displayName="T11" ref="A1:AB8" headerRowCount="1" totalsRowCount="0" totalsRowShown="0">
  <autoFilter ref="A1:AB8"/>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2.xml><?xml version="1.0" encoding="utf-8"?>
<table xmlns="http://schemas.openxmlformats.org/spreadsheetml/2006/main" id="12" name="T12" displayName="T12" ref="A1:AB12" headerRowCount="1" totalsRowCount="0" totalsRowShown="0">
  <autoFilter ref="A1:AB1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3.xml><?xml version="1.0" encoding="utf-8"?>
<table xmlns="http://schemas.openxmlformats.org/spreadsheetml/2006/main" id="13" name="T13" displayName="T13" ref="A1:AB10" headerRowCount="1" totalsRowCount="0" totalsRowShown="0">
  <autoFilter ref="A1:AB10"/>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4.xml><?xml version="1.0" encoding="utf-8"?>
<table xmlns="http://schemas.openxmlformats.org/spreadsheetml/2006/main" id="14" name="T14" displayName="T14" ref="A1:AB4" headerRowCount="1" totalsRowCount="0" totalsRowShown="0">
  <autoFilter ref="A1:AB4"/>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5.xml><?xml version="1.0" encoding="utf-8"?>
<table xmlns="http://schemas.openxmlformats.org/spreadsheetml/2006/main" id="15" name="T15" displayName="T15"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6.xml><?xml version="1.0" encoding="utf-8"?>
<table xmlns="http://schemas.openxmlformats.org/spreadsheetml/2006/main" id="16" name="T16" displayName="T16" ref="A1:AB6" headerRowCount="1" totalsRowCount="0" totalsRowShown="0">
  <autoFilter ref="A1:AB6"/>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7.xml><?xml version="1.0" encoding="utf-8"?>
<table xmlns="http://schemas.openxmlformats.org/spreadsheetml/2006/main" id="17" name="T17" displayName="T17"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8.xml><?xml version="1.0" encoding="utf-8"?>
<table xmlns="http://schemas.openxmlformats.org/spreadsheetml/2006/main" id="18" name="T19" displayName="T19" ref="A1:AB3" headerRowCount="1" totalsRowCount="0" totalsRowShown="0">
  <autoFilter ref="A1:AB3"/>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19.xml><?xml version="1.0" encoding="utf-8"?>
<table xmlns="http://schemas.openxmlformats.org/spreadsheetml/2006/main" id="19" name="T20" displayName="T20" ref="A1:AB5" headerRowCount="1" totalsRowCount="0" totalsRowShown="0">
  <autoFilter ref="A1:AB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0.xml><?xml version="1.0" encoding="utf-8"?>
<table xmlns="http://schemas.openxmlformats.org/spreadsheetml/2006/main" id="20" name="T21" displayName="T21" ref="A1:AB5" headerRowCount="1" totalsRowCount="0" totalsRowShown="0">
  <autoFilter ref="A1:AB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1.xml><?xml version="1.0" encoding="utf-8"?>
<table xmlns="http://schemas.openxmlformats.org/spreadsheetml/2006/main" id="21" name="T22" displayName="T22" ref="A1:AB2" headerRowCount="1" totalsRowCount="0" totalsRowShown="0">
  <autoFilter ref="A1:AB2"/>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2.xml><?xml version="1.0" encoding="utf-8"?>
<table xmlns="http://schemas.openxmlformats.org/spreadsheetml/2006/main" id="22" name="T23" displayName="T23" ref="A1:AB15" headerRowCount="1" totalsRowCount="0" totalsRowShown="0">
  <autoFilter ref="A1:AB15"/>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3.xml><?xml version="1.0" encoding="utf-8"?>
<table xmlns="http://schemas.openxmlformats.org/spreadsheetml/2006/main" id="23" name="全部机构表" displayName="全部机构表" ref="A1:AB139" headerRowCount="1" totalsRowCount="0" totalsRowShown="0">
  <autoFilter ref="A1:AB139"/>
  <tableColumns count="28">
    <tableColumn id="1" name="序号"/>
    <tableColumn id="2" name="区（市县）"/>
    <tableColumn id="3" name="机构名称"/>
    <tableColumn id="4" name="品牌/所属"/>
    <tableColumn id="5" name="机构类型"/>
    <tableColumn id="6" name="青训业务"/>
    <tableColumn id="7" name="运营状态"/>
    <tableColumn id="8" name="公司/法人名称"/>
    <tableColumn id="9" name="训练地址"/>
    <tableColumn id="10" name="联系电话"/>
    <tableColumn id="11" name="其他联系方式"/>
    <tableColumn id="12" name="成立年份"/>
    <tableColumn id="13" name="运营年限（年）"/>
    <tableColumn id="14" name="运营年限说明"/>
    <tableColumn id="15" name="教练员数量"/>
    <tableColumn id="16" name="学员数量"/>
    <tableColumn id="17" name="校区/场地数"/>
    <tableColumn id="18" name="规模等级"/>
    <tableColumn id="19" name="规模说明"/>
    <tableColumn id="20" name="招生年龄"/>
    <tableColumn id="21" name="大众点评评分"/>
    <tableColumn id="22" name="美团评分"/>
    <tableColumn id="23" name="其他平台评分"/>
    <tableColumn id="24" name="收费信息"/>
    <tableColumn id="25" name="荣誉/资质"/>
    <tableColumn id="26" name="信息来源"/>
    <tableColumn id="27" name="可信度"/>
    <tableColumn id="28" name="待核实/备注"/>
  </tableColumns>
</table>
</file>

<file path=xl/tables/table24.xml><?xml version="1.0" encoding="utf-8"?>
<table xmlns="http://schemas.openxmlformats.org/spreadsheetml/2006/main" id="24" name="场馆表" displayName="场馆表" ref="A1:G101" headerRowCount="1" totalsRowCount="0" totalsRowShown="0">
  <autoFilter ref="A1:G101"/>
  <tableColumns count="7">
    <tableColumn id="1" name="序号"/>
    <tableColumn id="2" name="区（市县）"/>
    <tableColumn id="3" name="场馆名称"/>
    <tableColumn id="4" name="地址"/>
    <tableColumn id="5" name="电话"/>
    <tableColumn id="6" name="来源"/>
    <tableColumn id="7" name="备注"/>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23.xml"/>
</Relationships>
</file>

<file path=xl/worksheets/_rels/sheet4.xml.rels><?xml version="1.0" encoding="UTF-8"?>
<Relationships xmlns="http://schemas.openxmlformats.org/package/2006/relationships"><Relationship Id="rId1" Type="http://schemas.openxmlformats.org/officeDocument/2006/relationships/table" Target="../tables/table24.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_rels/sheet14.xml.rels><?xml version="1.0" encoding="UTF-8"?>
<Relationships xmlns="http://schemas.openxmlformats.org/package/2006/relationships"><Relationship Id="rId1" Type="http://schemas.openxmlformats.org/officeDocument/2006/relationships/table" Target="../tables/table9.xml"/>
</Relationships>
</file>

<file path=xl/worksheets/_rels/sheet15.xml.rels><?xml version="1.0" encoding="UTF-8"?>
<Relationships xmlns="http://schemas.openxmlformats.org/package/2006/relationships"><Relationship Id="rId1" Type="http://schemas.openxmlformats.org/officeDocument/2006/relationships/table" Target="../tables/table10.xml"/>
</Relationships>
</file>

<file path=xl/worksheets/_rels/sheet16.xml.rels><?xml version="1.0" encoding="UTF-8"?>
<Relationships xmlns="http://schemas.openxmlformats.org/package/2006/relationships"><Relationship Id="rId1" Type="http://schemas.openxmlformats.org/officeDocument/2006/relationships/table" Target="../tables/table11.xml"/>
</Relationships>
</file>

<file path=xl/worksheets/_rels/sheet17.xml.rels><?xml version="1.0" encoding="UTF-8"?>
<Relationships xmlns="http://schemas.openxmlformats.org/package/2006/relationships"><Relationship Id="rId1" Type="http://schemas.openxmlformats.org/officeDocument/2006/relationships/table" Target="../tables/table12.xml"/>
</Relationships>
</file>

<file path=xl/worksheets/_rels/sheet18.xml.rels><?xml version="1.0" encoding="UTF-8"?>
<Relationships xmlns="http://schemas.openxmlformats.org/package/2006/relationships"><Relationship Id="rId1" Type="http://schemas.openxmlformats.org/officeDocument/2006/relationships/table" Target="../tables/table13.xml"/>
</Relationships>
</file>

<file path=xl/worksheets/_rels/sheet19.xml.rels><?xml version="1.0" encoding="UTF-8"?>
<Relationships xmlns="http://schemas.openxmlformats.org/package/2006/relationships"><Relationship Id="rId1" Type="http://schemas.openxmlformats.org/officeDocument/2006/relationships/table" Target="../tables/table14.xml"/>
</Relationships>
</file>

<file path=xl/worksheets/_rels/sheet20.xml.rels><?xml version="1.0" encoding="UTF-8"?>
<Relationships xmlns="http://schemas.openxmlformats.org/package/2006/relationships"><Relationship Id="rId1" Type="http://schemas.openxmlformats.org/officeDocument/2006/relationships/table" Target="../tables/table15.xml"/>
</Relationships>
</file>

<file path=xl/worksheets/_rels/sheet21.xml.rels><?xml version="1.0" encoding="UTF-8"?>
<Relationships xmlns="http://schemas.openxmlformats.org/package/2006/relationships"><Relationship Id="rId1" Type="http://schemas.openxmlformats.org/officeDocument/2006/relationships/table" Target="../tables/table16.xml"/>
</Relationships>
</file>

<file path=xl/worksheets/_rels/sheet22.xml.rels><?xml version="1.0" encoding="UTF-8"?>
<Relationships xmlns="http://schemas.openxmlformats.org/package/2006/relationships"><Relationship Id="rId1" Type="http://schemas.openxmlformats.org/officeDocument/2006/relationships/table" Target="../tables/table17.xml"/>
</Relationships>
</file>

<file path=xl/worksheets/_rels/sheet24.xml.rels><?xml version="1.0" encoding="UTF-8"?>
<Relationships xmlns="http://schemas.openxmlformats.org/package/2006/relationships"><Relationship Id="rId1" Type="http://schemas.openxmlformats.org/officeDocument/2006/relationships/table" Target="../tables/table18.xml"/>
</Relationships>
</file>

<file path=xl/worksheets/_rels/sheet25.xml.rels><?xml version="1.0" encoding="UTF-8"?>
<Relationships xmlns="http://schemas.openxmlformats.org/package/2006/relationships"><Relationship Id="rId1" Type="http://schemas.openxmlformats.org/officeDocument/2006/relationships/table" Target="../tables/table19.xml"/>
</Relationships>
</file>

<file path=xl/worksheets/_rels/sheet26.xml.rels><?xml version="1.0" encoding="UTF-8"?>
<Relationships xmlns="http://schemas.openxmlformats.org/package/2006/relationships"><Relationship Id="rId1" Type="http://schemas.openxmlformats.org/officeDocument/2006/relationships/table" Target="../tables/table20.xml"/>
</Relationships>
</file>

<file path=xl/worksheets/_rels/sheet27.xml.rels><?xml version="1.0" encoding="UTF-8"?>
<Relationships xmlns="http://schemas.openxmlformats.org/package/2006/relationships"><Relationship Id="rId1" Type="http://schemas.openxmlformats.org/officeDocument/2006/relationships/table" Target="../tables/table21.xml"/>
</Relationships>
</file>

<file path=xl/worksheets/_rels/sheet28.xml.rels><?xml version="1.0" encoding="UTF-8"?>
<Relationships xmlns="http://schemas.openxmlformats.org/package/2006/relationships"><Relationship Id="rId1"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8" hidden="false" customHeight="true" outlineLevel="0" collapsed="false">
      <c r="A4" s="3" t="s">
        <v>2</v>
      </c>
      <c r="B4" s="4" t="n">
        <v>2026</v>
      </c>
      <c r="C4" s="5" t="s">
        <v>3</v>
      </c>
    </row>
    <row r="5" customFormat="false" ht="18" hidden="false" customHeight="true" outlineLevel="0" collapsed="false">
      <c r="A5" s="3" t="s">
        <v>4</v>
      </c>
      <c r="B5" s="4" t="n">
        <v>500</v>
      </c>
    </row>
    <row r="6" customFormat="false" ht="18" hidden="false" customHeight="true" outlineLevel="0" collapsed="false">
      <c r="A6" s="3" t="s">
        <v>5</v>
      </c>
      <c r="B6" s="4" t="n">
        <v>20</v>
      </c>
    </row>
    <row r="7" customFormat="false" ht="18" hidden="false" customHeight="true" outlineLevel="0" collapsed="false">
      <c r="A7" s="3" t="s">
        <v>6</v>
      </c>
      <c r="B7" s="4" t="n">
        <v>100</v>
      </c>
    </row>
    <row r="8" customFormat="false" ht="18" hidden="false" customHeight="true" outlineLevel="0" collapsed="false">
      <c r="A8" s="3" t="s">
        <v>7</v>
      </c>
      <c r="B8" s="4" t="n">
        <v>6</v>
      </c>
    </row>
    <row r="10" customFormat="false" ht="31.5" hidden="false" customHeight="true" outlineLevel="0" collapsed="false">
      <c r="A10" s="3" t="s">
        <v>8</v>
      </c>
      <c r="B10" s="6" t="s">
        <v>9</v>
      </c>
    </row>
    <row r="11" customFormat="false" ht="63.75" hidden="false" customHeight="true" outlineLevel="0" collapsed="false">
      <c r="A11" s="3" t="s">
        <v>10</v>
      </c>
      <c r="B11" s="6" t="s">
        <v>11</v>
      </c>
    </row>
    <row r="12" customFormat="false" ht="48" hidden="false" customHeight="true" outlineLevel="0" collapsed="false">
      <c r="A12" s="3" t="s">
        <v>12</v>
      </c>
      <c r="B12" s="6" t="s">
        <v>13</v>
      </c>
    </row>
    <row r="13" customFormat="false" ht="31.5" hidden="false" customHeight="true" outlineLevel="0" collapsed="false">
      <c r="A13" s="3" t="s">
        <v>14</v>
      </c>
      <c r="B13" s="6" t="s">
        <v>15</v>
      </c>
    </row>
    <row r="14" customFormat="false" ht="18" hidden="false" customHeight="true" outlineLevel="0" collapsed="false">
      <c r="A14" s="3" t="s">
        <v>16</v>
      </c>
      <c r="B14" s="6" t="s">
        <v>17</v>
      </c>
    </row>
    <row r="15" customFormat="false" ht="18" hidden="false" customHeight="true" outlineLevel="0" collapsed="false">
      <c r="A15" s="3" t="s">
        <v>18</v>
      </c>
      <c r="B15" s="6" t="s">
        <v>19</v>
      </c>
    </row>
    <row r="16" customFormat="false" ht="31.5" hidden="false" customHeight="true" outlineLevel="0" collapsed="false">
      <c r="A16" s="3" t="s">
        <v>20</v>
      </c>
      <c r="B16" s="6" t="s">
        <v>21</v>
      </c>
    </row>
    <row r="17" customFormat="false" ht="18" hidden="false" customHeight="true" outlineLevel="0" collapsed="false">
      <c r="A17" s="3" t="s">
        <v>22</v>
      </c>
      <c r="B17" s="6" t="s">
        <v>23</v>
      </c>
    </row>
    <row r="18" customFormat="false" ht="31.5" hidden="false" customHeight="true" outlineLevel="0" collapsed="false">
      <c r="A18" s="3" t="s">
        <v>24</v>
      </c>
      <c r="B18" s="6" t="s">
        <v>25</v>
      </c>
    </row>
    <row r="19" customFormat="false" ht="18" hidden="false" customHeight="true" outlineLevel="0" collapsed="false">
      <c r="A19" s="3" t="s">
        <v>26</v>
      </c>
      <c r="B19" s="6" t="s">
        <v>27</v>
      </c>
    </row>
    <row r="21" customFormat="false" ht="48" hidden="false" customHeight="true" outlineLevel="0" collapsed="false">
      <c r="A21" s="3" t="s">
        <v>28</v>
      </c>
      <c r="B21" s="6" t="s">
        <v>29</v>
      </c>
    </row>
    <row r="22" customFormat="false" ht="31.5" hidden="false" customHeight="true" outlineLevel="0" collapsed="false">
      <c r="A22" s="3" t="s">
        <v>30</v>
      </c>
      <c r="B22" s="6" t="s">
        <v>31</v>
      </c>
    </row>
    <row r="25" customFormat="false" ht="15" hidden="false" customHeight="false" outlineLevel="0" collapsed="false">
      <c r="A25" s="3" t="s">
        <v>32</v>
      </c>
      <c r="B25" s="7"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3" min="2" style="0" width="12"/>
  </cols>
  <sheetData>
    <row r="1" customFormat="false" ht="31.5" hidden="false" customHeight="true" outlineLevel="0" collapsed="false">
      <c r="A1" s="8" t="s">
        <v>34</v>
      </c>
      <c r="B1" s="8" t="s">
        <v>35</v>
      </c>
      <c r="C1" s="8" t="s">
        <v>36</v>
      </c>
      <c r="D1" s="8" t="s">
        <v>37</v>
      </c>
      <c r="E1" s="8" t="s">
        <v>38</v>
      </c>
      <c r="F1" s="8" t="s">
        <v>39</v>
      </c>
      <c r="G1" s="8" t="s">
        <v>40</v>
      </c>
      <c r="H1" s="8" t="s">
        <v>41</v>
      </c>
      <c r="I1" s="8" t="s">
        <v>42</v>
      </c>
      <c r="J1" s="8" t="s">
        <v>43</v>
      </c>
      <c r="K1" s="8" t="s">
        <v>44</v>
      </c>
      <c r="L1" s="8" t="s">
        <v>45</v>
      </c>
      <c r="M1" s="8" t="s">
        <v>46</v>
      </c>
    </row>
    <row r="2" customFormat="false" ht="15" hidden="false" customHeight="false" outlineLevel="0" collapsed="false">
      <c r="A2" s="9" t="s">
        <v>47</v>
      </c>
      <c r="B2" s="10" t="n">
        <f aca="false">COUNTIFS(全部机构!$B$2:$B$139,$A2)</f>
        <v>10</v>
      </c>
      <c r="C2" s="10" t="n">
        <f aca="false">COUNTIFS(全部机构!$B$2:$B$139,$A2,全部机构!$E$2:$E$139,"培训机构")</f>
        <v>4</v>
      </c>
      <c r="D2" s="10" t="n">
        <f aca="false">COUNTIFS(全部机构!$B$2:$B$139,$A2,全部机构!$E$2:$E$139,"业余俱乐部")</f>
        <v>5</v>
      </c>
      <c r="E2" s="10" t="n">
        <f aca="false">COUNTIFS(全部机构!$B$2:$B$139,$A2,全部机构!$E$2:$E$139,"职业俱乐部青训")</f>
        <v>1</v>
      </c>
      <c r="F2" s="10" t="n">
        <f aca="false">COUNTIFS(全部机构!$B$2:$B$139,$A2,全部机构!$E$2:$E$139,"海外青训分校")</f>
        <v>0</v>
      </c>
      <c r="G2" s="10" t="n">
        <f aca="false">COUNTIFS(全部机构!$B$2:$B$139,$A2,全部机构!$E$2:$E$139,"协会")</f>
        <v>0</v>
      </c>
      <c r="H2" s="10" t="n">
        <f aca="false">COUNTIFS(全部机构!$B$2:$B$139,$A2,全部机构!$E$2:$E$139,"场馆运营方")</f>
        <v>0</v>
      </c>
      <c r="I2" s="10" t="n">
        <f aca="false">COUNTIFS(全部机构!$B$2:$B$139,$A2,全部机构!$E$2:$E$139,"其他")</f>
        <v>0</v>
      </c>
      <c r="J2" s="10" t="n">
        <f aca="false">COUNTIFS(全部机构!$B$2:$B$139,$A2,全部机构!$J$2:$J$139,"&lt;&gt;")</f>
        <v>5</v>
      </c>
      <c r="K2" s="10" t="n">
        <f aca="false">COUNTIFS(全部机构!$B$2:$B$139,$A2,全部机构!$L$2:$L$139,"&lt;&gt;")</f>
        <v>1</v>
      </c>
      <c r="L2" s="10" t="n">
        <f aca="false">COUNTIFS(全部机构!$B$2:$B$139,$A2,全部机构!$U$2:$U$139,"&lt;&gt;")+COUNTIFS(全部机构!$B$2:$B$139,$A2,全部机构!$V$2:$V$139,"&lt;&gt;")+COUNTIFS(全部机构!$B$2:$B$139,$A2,全部机构!$W$2:$W$139,"&lt;&gt;")</f>
        <v>1</v>
      </c>
      <c r="M2" s="10" t="n">
        <f aca="false">COUNTIFS(全部机构!$B$2:$B$139,$A2,全部机构!$F$2:$F$139,"已证实（有来源）")</f>
        <v>3</v>
      </c>
    </row>
    <row r="3" customFormat="false" ht="15" hidden="false" customHeight="false" outlineLevel="0" collapsed="false">
      <c r="A3" s="9" t="s">
        <v>48</v>
      </c>
      <c r="B3" s="10" t="n">
        <f aca="false">COUNTIFS(全部机构!$B$2:$B$139,$A3)</f>
        <v>9</v>
      </c>
      <c r="C3" s="10" t="n">
        <f aca="false">COUNTIFS(全部机构!$B$2:$B$139,$A3,全部机构!$E$2:$E$139,"培训机构")</f>
        <v>3</v>
      </c>
      <c r="D3" s="10" t="n">
        <f aca="false">COUNTIFS(全部机构!$B$2:$B$139,$A3,全部机构!$E$2:$E$139,"业余俱乐部")</f>
        <v>4</v>
      </c>
      <c r="E3" s="10" t="n">
        <f aca="false">COUNTIFS(全部机构!$B$2:$B$139,$A3,全部机构!$E$2:$E$139,"职业俱乐部青训")</f>
        <v>0</v>
      </c>
      <c r="F3" s="10" t="n">
        <f aca="false">COUNTIFS(全部机构!$B$2:$B$139,$A3,全部机构!$E$2:$E$139,"海外青训分校")</f>
        <v>0</v>
      </c>
      <c r="G3" s="10" t="n">
        <f aca="false">COUNTIFS(全部机构!$B$2:$B$139,$A3,全部机构!$E$2:$E$139,"协会")</f>
        <v>0</v>
      </c>
      <c r="H3" s="10" t="n">
        <f aca="false">COUNTIFS(全部机构!$B$2:$B$139,$A3,全部机构!$E$2:$E$139,"场馆运营方")</f>
        <v>2</v>
      </c>
      <c r="I3" s="10" t="n">
        <f aca="false">COUNTIFS(全部机构!$B$2:$B$139,$A3,全部机构!$E$2:$E$139,"其他")</f>
        <v>0</v>
      </c>
      <c r="J3" s="10" t="n">
        <f aca="false">COUNTIFS(全部机构!$B$2:$B$139,$A3,全部机构!$J$2:$J$139,"&lt;&gt;")</f>
        <v>3</v>
      </c>
      <c r="K3" s="10" t="n">
        <f aca="false">COUNTIFS(全部机构!$B$2:$B$139,$A3,全部机构!$L$2:$L$139,"&lt;&gt;")</f>
        <v>1</v>
      </c>
      <c r="L3" s="10" t="n">
        <f aca="false">COUNTIFS(全部机构!$B$2:$B$139,$A3,全部机构!$U$2:$U$139,"&lt;&gt;")+COUNTIFS(全部机构!$B$2:$B$139,$A3,全部机构!$V$2:$V$139,"&lt;&gt;")+COUNTIFS(全部机构!$B$2:$B$139,$A3,全部机构!$W$2:$W$139,"&lt;&gt;")</f>
        <v>0</v>
      </c>
      <c r="M3" s="10" t="n">
        <f aca="false">COUNTIFS(全部机构!$B$2:$B$139,$A3,全部机构!$F$2:$F$139,"已证实（有来源）")</f>
        <v>4</v>
      </c>
    </row>
    <row r="4" customFormat="false" ht="15" hidden="false" customHeight="false" outlineLevel="0" collapsed="false">
      <c r="A4" s="9" t="s">
        <v>49</v>
      </c>
      <c r="B4" s="10" t="n">
        <f aca="false">COUNTIFS(全部机构!$B$2:$B$139,$A4)</f>
        <v>6</v>
      </c>
      <c r="C4" s="10" t="n">
        <f aca="false">COUNTIFS(全部机构!$B$2:$B$139,$A4,全部机构!$E$2:$E$139,"培训机构")</f>
        <v>3</v>
      </c>
      <c r="D4" s="10" t="n">
        <f aca="false">COUNTIFS(全部机构!$B$2:$B$139,$A4,全部机构!$E$2:$E$139,"业余俱乐部")</f>
        <v>2</v>
      </c>
      <c r="E4" s="10" t="n">
        <f aca="false">COUNTIFS(全部机构!$B$2:$B$139,$A4,全部机构!$E$2:$E$139,"职业俱乐部青训")</f>
        <v>0</v>
      </c>
      <c r="F4" s="10" t="n">
        <f aca="false">COUNTIFS(全部机构!$B$2:$B$139,$A4,全部机构!$E$2:$E$139,"海外青训分校")</f>
        <v>0</v>
      </c>
      <c r="G4" s="10" t="n">
        <f aca="false">COUNTIFS(全部机构!$B$2:$B$139,$A4,全部机构!$E$2:$E$139,"协会")</f>
        <v>1</v>
      </c>
      <c r="H4" s="10" t="n">
        <f aca="false">COUNTIFS(全部机构!$B$2:$B$139,$A4,全部机构!$E$2:$E$139,"场馆运营方")</f>
        <v>0</v>
      </c>
      <c r="I4" s="10" t="n">
        <f aca="false">COUNTIFS(全部机构!$B$2:$B$139,$A4,全部机构!$E$2:$E$139,"其他")</f>
        <v>0</v>
      </c>
      <c r="J4" s="10" t="n">
        <f aca="false">COUNTIFS(全部机构!$B$2:$B$139,$A4,全部机构!$J$2:$J$139,"&lt;&gt;")</f>
        <v>0</v>
      </c>
      <c r="K4" s="10" t="n">
        <f aca="false">COUNTIFS(全部机构!$B$2:$B$139,$A4,全部机构!$L$2:$L$139,"&lt;&gt;")</f>
        <v>0</v>
      </c>
      <c r="L4" s="10" t="n">
        <f aca="false">COUNTIFS(全部机构!$B$2:$B$139,$A4,全部机构!$U$2:$U$139,"&lt;&gt;")+COUNTIFS(全部机构!$B$2:$B$139,$A4,全部机构!$V$2:$V$139,"&lt;&gt;")+COUNTIFS(全部机构!$B$2:$B$139,$A4,全部机构!$W$2:$W$139,"&lt;&gt;")</f>
        <v>0</v>
      </c>
      <c r="M4" s="10" t="n">
        <f aca="false">COUNTIFS(全部机构!$B$2:$B$139,$A4,全部机构!$F$2:$F$139,"已证实（有来源）")</f>
        <v>3</v>
      </c>
    </row>
    <row r="5" customFormat="false" ht="15" hidden="false" customHeight="false" outlineLevel="0" collapsed="false">
      <c r="A5" s="9" t="s">
        <v>50</v>
      </c>
      <c r="B5" s="10" t="n">
        <f aca="false">COUNTIFS(全部机构!$B$2:$B$139,$A5)</f>
        <v>14</v>
      </c>
      <c r="C5" s="10" t="n">
        <f aca="false">COUNTIFS(全部机构!$B$2:$B$139,$A5,全部机构!$E$2:$E$139,"培训机构")</f>
        <v>6</v>
      </c>
      <c r="D5" s="10" t="n">
        <f aca="false">COUNTIFS(全部机构!$B$2:$B$139,$A5,全部机构!$E$2:$E$139,"业余俱乐部")</f>
        <v>7</v>
      </c>
      <c r="E5" s="10" t="n">
        <f aca="false">COUNTIFS(全部机构!$B$2:$B$139,$A5,全部机构!$E$2:$E$139,"职业俱乐部青训")</f>
        <v>0</v>
      </c>
      <c r="F5" s="10" t="n">
        <f aca="false">COUNTIFS(全部机构!$B$2:$B$139,$A5,全部机构!$E$2:$E$139,"海外青训分校")</f>
        <v>0</v>
      </c>
      <c r="G5" s="10" t="n">
        <f aca="false">COUNTIFS(全部机构!$B$2:$B$139,$A5,全部机构!$E$2:$E$139,"协会")</f>
        <v>0</v>
      </c>
      <c r="H5" s="10" t="n">
        <f aca="false">COUNTIFS(全部机构!$B$2:$B$139,$A5,全部机构!$E$2:$E$139,"场馆运营方")</f>
        <v>1</v>
      </c>
      <c r="I5" s="10" t="n">
        <f aca="false">COUNTIFS(全部机构!$B$2:$B$139,$A5,全部机构!$E$2:$E$139,"其他")</f>
        <v>0</v>
      </c>
      <c r="J5" s="10" t="n">
        <f aca="false">COUNTIFS(全部机构!$B$2:$B$139,$A5,全部机构!$J$2:$J$139,"&lt;&gt;")</f>
        <v>4</v>
      </c>
      <c r="K5" s="10" t="n">
        <f aca="false">COUNTIFS(全部机构!$B$2:$B$139,$A5,全部机构!$L$2:$L$139,"&lt;&gt;")</f>
        <v>3</v>
      </c>
      <c r="L5" s="10" t="n">
        <f aca="false">COUNTIFS(全部机构!$B$2:$B$139,$A5,全部机构!$U$2:$U$139,"&lt;&gt;")+COUNTIFS(全部机构!$B$2:$B$139,$A5,全部机构!$V$2:$V$139,"&lt;&gt;")+COUNTIFS(全部机构!$B$2:$B$139,$A5,全部机构!$W$2:$W$139,"&lt;&gt;")</f>
        <v>0</v>
      </c>
      <c r="M5" s="10" t="n">
        <f aca="false">COUNTIFS(全部机构!$B$2:$B$139,$A5,全部机构!$F$2:$F$139,"已证实（有来源）")</f>
        <v>3</v>
      </c>
    </row>
    <row r="6" customFormat="false" ht="15" hidden="false" customHeight="false" outlineLevel="0" collapsed="false">
      <c r="A6" s="9" t="s">
        <v>51</v>
      </c>
      <c r="B6" s="10" t="n">
        <f aca="false">COUNTIFS(全部机构!$B$2:$B$139,$A6)</f>
        <v>8</v>
      </c>
      <c r="C6" s="10" t="n">
        <f aca="false">COUNTIFS(全部机构!$B$2:$B$139,$A6,全部机构!$E$2:$E$139,"培训机构")</f>
        <v>2</v>
      </c>
      <c r="D6" s="10" t="n">
        <f aca="false">COUNTIFS(全部机构!$B$2:$B$139,$A6,全部机构!$E$2:$E$139,"业余俱乐部")</f>
        <v>6</v>
      </c>
      <c r="E6" s="10" t="n">
        <f aca="false">COUNTIFS(全部机构!$B$2:$B$139,$A6,全部机构!$E$2:$E$139,"职业俱乐部青训")</f>
        <v>0</v>
      </c>
      <c r="F6" s="10" t="n">
        <f aca="false">COUNTIFS(全部机构!$B$2:$B$139,$A6,全部机构!$E$2:$E$139,"海外青训分校")</f>
        <v>0</v>
      </c>
      <c r="G6" s="10" t="n">
        <f aca="false">COUNTIFS(全部机构!$B$2:$B$139,$A6,全部机构!$E$2:$E$139,"协会")</f>
        <v>0</v>
      </c>
      <c r="H6" s="10" t="n">
        <f aca="false">COUNTIFS(全部机构!$B$2:$B$139,$A6,全部机构!$E$2:$E$139,"场馆运营方")</f>
        <v>0</v>
      </c>
      <c r="I6" s="10" t="n">
        <f aca="false">COUNTIFS(全部机构!$B$2:$B$139,$A6,全部机构!$E$2:$E$139,"其他")</f>
        <v>0</v>
      </c>
      <c r="J6" s="10" t="n">
        <f aca="false">COUNTIFS(全部机构!$B$2:$B$139,$A6,全部机构!$J$2:$J$139,"&lt;&gt;")</f>
        <v>3</v>
      </c>
      <c r="K6" s="10" t="n">
        <f aca="false">COUNTIFS(全部机构!$B$2:$B$139,$A6,全部机构!$L$2:$L$139,"&lt;&gt;")</f>
        <v>0</v>
      </c>
      <c r="L6" s="10" t="n">
        <f aca="false">COUNTIFS(全部机构!$B$2:$B$139,$A6,全部机构!$U$2:$U$139,"&lt;&gt;")+COUNTIFS(全部机构!$B$2:$B$139,$A6,全部机构!$V$2:$V$139,"&lt;&gt;")+COUNTIFS(全部机构!$B$2:$B$139,$A6,全部机构!$W$2:$W$139,"&lt;&gt;")</f>
        <v>1</v>
      </c>
      <c r="M6" s="10" t="n">
        <f aca="false">COUNTIFS(全部机构!$B$2:$B$139,$A6,全部机构!$F$2:$F$139,"已证实（有来源）")</f>
        <v>2</v>
      </c>
    </row>
    <row r="7" customFormat="false" ht="15" hidden="false" customHeight="false" outlineLevel="0" collapsed="false">
      <c r="A7" s="9" t="s">
        <v>52</v>
      </c>
      <c r="B7" s="10" t="n">
        <f aca="false">COUNTIFS(全部机构!$B$2:$B$139,$A7)</f>
        <v>5</v>
      </c>
      <c r="C7" s="10" t="n">
        <f aca="false">COUNTIFS(全部机构!$B$2:$B$139,$A7,全部机构!$E$2:$E$139,"培训机构")</f>
        <v>4</v>
      </c>
      <c r="D7" s="10" t="n">
        <f aca="false">COUNTIFS(全部机构!$B$2:$B$139,$A7,全部机构!$E$2:$E$139,"业余俱乐部")</f>
        <v>0</v>
      </c>
      <c r="E7" s="10" t="n">
        <f aca="false">COUNTIFS(全部机构!$B$2:$B$139,$A7,全部机构!$E$2:$E$139,"职业俱乐部青训")</f>
        <v>0</v>
      </c>
      <c r="F7" s="10" t="n">
        <f aca="false">COUNTIFS(全部机构!$B$2:$B$139,$A7,全部机构!$E$2:$E$139,"海外青训分校")</f>
        <v>1</v>
      </c>
      <c r="G7" s="10" t="n">
        <f aca="false">COUNTIFS(全部机构!$B$2:$B$139,$A7,全部机构!$E$2:$E$139,"协会")</f>
        <v>0</v>
      </c>
      <c r="H7" s="10" t="n">
        <f aca="false">COUNTIFS(全部机构!$B$2:$B$139,$A7,全部机构!$E$2:$E$139,"场馆运营方")</f>
        <v>0</v>
      </c>
      <c r="I7" s="10" t="n">
        <f aca="false">COUNTIFS(全部机构!$B$2:$B$139,$A7,全部机构!$E$2:$E$139,"其他")</f>
        <v>0</v>
      </c>
      <c r="J7" s="10" t="n">
        <f aca="false">COUNTIFS(全部机构!$B$2:$B$139,$A7,全部机构!$J$2:$J$139,"&lt;&gt;")</f>
        <v>0</v>
      </c>
      <c r="K7" s="10" t="n">
        <f aca="false">COUNTIFS(全部机构!$B$2:$B$139,$A7,全部机构!$L$2:$L$139,"&lt;&gt;")</f>
        <v>0</v>
      </c>
      <c r="L7" s="10" t="n">
        <f aca="false">COUNTIFS(全部机构!$B$2:$B$139,$A7,全部机构!$U$2:$U$139,"&lt;&gt;")+COUNTIFS(全部机构!$B$2:$B$139,$A7,全部机构!$V$2:$V$139,"&lt;&gt;")+COUNTIFS(全部机构!$B$2:$B$139,$A7,全部机构!$W$2:$W$139,"&lt;&gt;")</f>
        <v>0</v>
      </c>
      <c r="M7" s="10" t="n">
        <f aca="false">COUNTIFS(全部机构!$B$2:$B$139,$A7,全部机构!$F$2:$F$139,"已证实（有来源）")</f>
        <v>4</v>
      </c>
    </row>
    <row r="8" customFormat="false" ht="15" hidden="false" customHeight="false" outlineLevel="0" collapsed="false">
      <c r="A8" s="9" t="s">
        <v>53</v>
      </c>
      <c r="B8" s="10" t="n">
        <f aca="false">COUNTIFS(全部机构!$B$2:$B$139,$A8)</f>
        <v>9</v>
      </c>
      <c r="C8" s="10" t="n">
        <f aca="false">COUNTIFS(全部机构!$B$2:$B$139,$A8,全部机构!$E$2:$E$139,"培训机构")</f>
        <v>3</v>
      </c>
      <c r="D8" s="10" t="n">
        <f aca="false">COUNTIFS(全部机构!$B$2:$B$139,$A8,全部机构!$E$2:$E$139,"业余俱乐部")</f>
        <v>3</v>
      </c>
      <c r="E8" s="10" t="n">
        <f aca="false">COUNTIFS(全部机构!$B$2:$B$139,$A8,全部机构!$E$2:$E$139,"职业俱乐部青训")</f>
        <v>1</v>
      </c>
      <c r="F8" s="10" t="n">
        <f aca="false">COUNTIFS(全部机构!$B$2:$B$139,$A8,全部机构!$E$2:$E$139,"海外青训分校")</f>
        <v>1</v>
      </c>
      <c r="G8" s="10" t="n">
        <f aca="false">COUNTIFS(全部机构!$B$2:$B$139,$A8,全部机构!$E$2:$E$139,"协会")</f>
        <v>0</v>
      </c>
      <c r="H8" s="10" t="n">
        <f aca="false">COUNTIFS(全部机构!$B$2:$B$139,$A8,全部机构!$E$2:$E$139,"场馆运营方")</f>
        <v>1</v>
      </c>
      <c r="I8" s="10" t="n">
        <f aca="false">COUNTIFS(全部机构!$B$2:$B$139,$A8,全部机构!$E$2:$E$139,"其他")</f>
        <v>0</v>
      </c>
      <c r="J8" s="10" t="n">
        <f aca="false">COUNTIFS(全部机构!$B$2:$B$139,$A8,全部机构!$J$2:$J$139,"&lt;&gt;")</f>
        <v>0</v>
      </c>
      <c r="K8" s="10" t="n">
        <f aca="false">COUNTIFS(全部机构!$B$2:$B$139,$A8,全部机构!$L$2:$L$139,"&lt;&gt;")</f>
        <v>3</v>
      </c>
      <c r="L8" s="10" t="n">
        <f aca="false">COUNTIFS(全部机构!$B$2:$B$139,$A8,全部机构!$U$2:$U$139,"&lt;&gt;")+COUNTIFS(全部机构!$B$2:$B$139,$A8,全部机构!$V$2:$V$139,"&lt;&gt;")+COUNTIFS(全部机构!$B$2:$B$139,$A8,全部机构!$W$2:$W$139,"&lt;&gt;")</f>
        <v>0</v>
      </c>
      <c r="M8" s="10" t="n">
        <f aca="false">COUNTIFS(全部机构!$B$2:$B$139,$A8,全部机构!$F$2:$F$139,"已证实（有来源）")</f>
        <v>4</v>
      </c>
    </row>
    <row r="9" customFormat="false" ht="15" hidden="false" customHeight="false" outlineLevel="0" collapsed="false">
      <c r="A9" s="9" t="s">
        <v>54</v>
      </c>
      <c r="B9" s="10" t="n">
        <f aca="false">COUNTIFS(全部机构!$B$2:$B$139,$A9)</f>
        <v>0</v>
      </c>
      <c r="C9" s="10" t="n">
        <f aca="false">COUNTIFS(全部机构!$B$2:$B$139,$A9,全部机构!$E$2:$E$139,"培训机构")</f>
        <v>0</v>
      </c>
      <c r="D9" s="10" t="n">
        <f aca="false">COUNTIFS(全部机构!$B$2:$B$139,$A9,全部机构!$E$2:$E$139,"业余俱乐部")</f>
        <v>0</v>
      </c>
      <c r="E9" s="10" t="n">
        <f aca="false">COUNTIFS(全部机构!$B$2:$B$139,$A9,全部机构!$E$2:$E$139,"职业俱乐部青训")</f>
        <v>0</v>
      </c>
      <c r="F9" s="10" t="n">
        <f aca="false">COUNTIFS(全部机构!$B$2:$B$139,$A9,全部机构!$E$2:$E$139,"海外青训分校")</f>
        <v>0</v>
      </c>
      <c r="G9" s="10" t="n">
        <f aca="false">COUNTIFS(全部机构!$B$2:$B$139,$A9,全部机构!$E$2:$E$139,"协会")</f>
        <v>0</v>
      </c>
      <c r="H9" s="10" t="n">
        <f aca="false">COUNTIFS(全部机构!$B$2:$B$139,$A9,全部机构!$E$2:$E$139,"场馆运营方")</f>
        <v>0</v>
      </c>
      <c r="I9" s="10" t="n">
        <f aca="false">COUNTIFS(全部机构!$B$2:$B$139,$A9,全部机构!$E$2:$E$139,"其他")</f>
        <v>0</v>
      </c>
      <c r="J9" s="10" t="n">
        <f aca="false">COUNTIFS(全部机构!$B$2:$B$139,$A9,全部机构!$J$2:$J$139,"&lt;&gt;")</f>
        <v>0</v>
      </c>
      <c r="K9" s="10" t="n">
        <f aca="false">COUNTIFS(全部机构!$B$2:$B$139,$A9,全部机构!$L$2:$L$139,"&lt;&gt;")</f>
        <v>0</v>
      </c>
      <c r="L9" s="10" t="n">
        <f aca="false">COUNTIFS(全部机构!$B$2:$B$139,$A9,全部机构!$U$2:$U$139,"&lt;&gt;")+COUNTIFS(全部机构!$B$2:$B$139,$A9,全部机构!$V$2:$V$139,"&lt;&gt;")+COUNTIFS(全部机构!$B$2:$B$139,$A9,全部机构!$W$2:$W$139,"&lt;&gt;")</f>
        <v>0</v>
      </c>
      <c r="M9" s="10" t="n">
        <f aca="false">COUNTIFS(全部机构!$B$2:$B$139,$A9,全部机构!$F$2:$F$139,"已证实（有来源）")</f>
        <v>0</v>
      </c>
    </row>
    <row r="10" customFormat="false" ht="15" hidden="false" customHeight="false" outlineLevel="0" collapsed="false">
      <c r="A10" s="9" t="s">
        <v>55</v>
      </c>
      <c r="B10" s="10" t="n">
        <f aca="false">COUNTIFS(全部机构!$B$2:$B$139,$A10)</f>
        <v>6</v>
      </c>
      <c r="C10" s="10" t="n">
        <f aca="false">COUNTIFS(全部机构!$B$2:$B$139,$A10,全部机构!$E$2:$E$139,"培训机构")</f>
        <v>0</v>
      </c>
      <c r="D10" s="10" t="n">
        <f aca="false">COUNTIFS(全部机构!$B$2:$B$139,$A10,全部机构!$E$2:$E$139,"业余俱乐部")</f>
        <v>5</v>
      </c>
      <c r="E10" s="10" t="n">
        <f aca="false">COUNTIFS(全部机构!$B$2:$B$139,$A10,全部机构!$E$2:$E$139,"职业俱乐部青训")</f>
        <v>0</v>
      </c>
      <c r="F10" s="10" t="n">
        <f aca="false">COUNTIFS(全部机构!$B$2:$B$139,$A10,全部机构!$E$2:$E$139,"海外青训分校")</f>
        <v>0</v>
      </c>
      <c r="G10" s="10" t="n">
        <f aca="false">COUNTIFS(全部机构!$B$2:$B$139,$A10,全部机构!$E$2:$E$139,"协会")</f>
        <v>1</v>
      </c>
      <c r="H10" s="10" t="n">
        <f aca="false">COUNTIFS(全部机构!$B$2:$B$139,$A10,全部机构!$E$2:$E$139,"场馆运营方")</f>
        <v>0</v>
      </c>
      <c r="I10" s="10" t="n">
        <f aca="false">COUNTIFS(全部机构!$B$2:$B$139,$A10,全部机构!$E$2:$E$139,"其他")</f>
        <v>0</v>
      </c>
      <c r="J10" s="10" t="n">
        <f aca="false">COUNTIFS(全部机构!$B$2:$B$139,$A10,全部机构!$J$2:$J$139,"&lt;&gt;")</f>
        <v>0</v>
      </c>
      <c r="K10" s="10" t="n">
        <f aca="false">COUNTIFS(全部机构!$B$2:$B$139,$A10,全部机构!$L$2:$L$139,"&lt;&gt;")</f>
        <v>1</v>
      </c>
      <c r="L10" s="10" t="n">
        <f aca="false">COUNTIFS(全部机构!$B$2:$B$139,$A10,全部机构!$U$2:$U$139,"&lt;&gt;")+COUNTIFS(全部机构!$B$2:$B$139,$A10,全部机构!$V$2:$V$139,"&lt;&gt;")+COUNTIFS(全部机构!$B$2:$B$139,$A10,全部机构!$W$2:$W$139,"&lt;&gt;")</f>
        <v>0</v>
      </c>
      <c r="M10" s="10" t="n">
        <f aca="false">COUNTIFS(全部机构!$B$2:$B$139,$A10,全部机构!$F$2:$F$139,"已证实（有来源）")</f>
        <v>1</v>
      </c>
    </row>
    <row r="11" customFormat="false" ht="15" hidden="false" customHeight="false" outlineLevel="0" collapsed="false">
      <c r="A11" s="9" t="s">
        <v>56</v>
      </c>
      <c r="B11" s="10" t="n">
        <f aca="false">COUNTIFS(全部机构!$B$2:$B$139,$A11)</f>
        <v>1</v>
      </c>
      <c r="C11" s="10" t="n">
        <f aca="false">COUNTIFS(全部机构!$B$2:$B$139,$A11,全部机构!$E$2:$E$139,"培训机构")</f>
        <v>0</v>
      </c>
      <c r="D11" s="10" t="n">
        <f aca="false">COUNTIFS(全部机构!$B$2:$B$139,$A11,全部机构!$E$2:$E$139,"业余俱乐部")</f>
        <v>0</v>
      </c>
      <c r="E11" s="10" t="n">
        <f aca="false">COUNTIFS(全部机构!$B$2:$B$139,$A11,全部机构!$E$2:$E$139,"职业俱乐部青训")</f>
        <v>0</v>
      </c>
      <c r="F11" s="10" t="n">
        <f aca="false">COUNTIFS(全部机构!$B$2:$B$139,$A11,全部机构!$E$2:$E$139,"海外青训分校")</f>
        <v>0</v>
      </c>
      <c r="G11" s="10" t="n">
        <f aca="false">COUNTIFS(全部机构!$B$2:$B$139,$A11,全部机构!$E$2:$E$139,"协会")</f>
        <v>1</v>
      </c>
      <c r="H11" s="10" t="n">
        <f aca="false">COUNTIFS(全部机构!$B$2:$B$139,$A11,全部机构!$E$2:$E$139,"场馆运营方")</f>
        <v>0</v>
      </c>
      <c r="I11" s="10" t="n">
        <f aca="false">COUNTIFS(全部机构!$B$2:$B$139,$A11,全部机构!$E$2:$E$139,"其他")</f>
        <v>0</v>
      </c>
      <c r="J11" s="10" t="n">
        <f aca="false">COUNTIFS(全部机构!$B$2:$B$139,$A11,全部机构!$J$2:$J$139,"&lt;&gt;")</f>
        <v>0</v>
      </c>
      <c r="K11" s="10" t="n">
        <f aca="false">COUNTIFS(全部机构!$B$2:$B$139,$A11,全部机构!$L$2:$L$139,"&lt;&gt;")</f>
        <v>0</v>
      </c>
      <c r="L11" s="10" t="n">
        <f aca="false">COUNTIFS(全部机构!$B$2:$B$139,$A11,全部机构!$U$2:$U$139,"&lt;&gt;")+COUNTIFS(全部机构!$B$2:$B$139,$A11,全部机构!$V$2:$V$139,"&lt;&gt;")+COUNTIFS(全部机构!$B$2:$B$139,$A11,全部机构!$W$2:$W$139,"&lt;&gt;")</f>
        <v>0</v>
      </c>
      <c r="M11" s="10" t="n">
        <f aca="false">COUNTIFS(全部机构!$B$2:$B$139,$A11,全部机构!$F$2:$F$139,"已证实（有来源）")</f>
        <v>0</v>
      </c>
    </row>
    <row r="12" customFormat="false" ht="15" hidden="false" customHeight="false" outlineLevel="0" collapsed="false">
      <c r="A12" s="9" t="s">
        <v>57</v>
      </c>
      <c r="B12" s="10" t="n">
        <f aca="false">COUNTIFS(全部机构!$B$2:$B$139,$A12)</f>
        <v>6</v>
      </c>
      <c r="C12" s="10" t="n">
        <f aca="false">COUNTIFS(全部机构!$B$2:$B$139,$A12,全部机构!$E$2:$E$139,"培训机构")</f>
        <v>2</v>
      </c>
      <c r="D12" s="10" t="n">
        <f aca="false">COUNTIFS(全部机构!$B$2:$B$139,$A12,全部机构!$E$2:$E$139,"业余俱乐部")</f>
        <v>4</v>
      </c>
      <c r="E12" s="10" t="n">
        <f aca="false">COUNTIFS(全部机构!$B$2:$B$139,$A12,全部机构!$E$2:$E$139,"职业俱乐部青训")</f>
        <v>0</v>
      </c>
      <c r="F12" s="10" t="n">
        <f aca="false">COUNTIFS(全部机构!$B$2:$B$139,$A12,全部机构!$E$2:$E$139,"海外青训分校")</f>
        <v>0</v>
      </c>
      <c r="G12" s="10" t="n">
        <f aca="false">COUNTIFS(全部机构!$B$2:$B$139,$A12,全部机构!$E$2:$E$139,"协会")</f>
        <v>0</v>
      </c>
      <c r="H12" s="10" t="n">
        <f aca="false">COUNTIFS(全部机构!$B$2:$B$139,$A12,全部机构!$E$2:$E$139,"场馆运营方")</f>
        <v>0</v>
      </c>
      <c r="I12" s="10" t="n">
        <f aca="false">COUNTIFS(全部机构!$B$2:$B$139,$A12,全部机构!$E$2:$E$139,"其他")</f>
        <v>0</v>
      </c>
      <c r="J12" s="10" t="n">
        <f aca="false">COUNTIFS(全部机构!$B$2:$B$139,$A12,全部机构!$J$2:$J$139,"&lt;&gt;")</f>
        <v>1</v>
      </c>
      <c r="K12" s="10" t="n">
        <f aca="false">COUNTIFS(全部机构!$B$2:$B$139,$A12,全部机构!$L$2:$L$139,"&lt;&gt;")</f>
        <v>2</v>
      </c>
      <c r="L12" s="10" t="n">
        <f aca="false">COUNTIFS(全部机构!$B$2:$B$139,$A12,全部机构!$U$2:$U$139,"&lt;&gt;")+COUNTIFS(全部机构!$B$2:$B$139,$A12,全部机构!$V$2:$V$139,"&lt;&gt;")+COUNTIFS(全部机构!$B$2:$B$139,$A12,全部机构!$W$2:$W$139,"&lt;&gt;")</f>
        <v>0</v>
      </c>
      <c r="M12" s="10" t="n">
        <f aca="false">COUNTIFS(全部机构!$B$2:$B$139,$A12,全部机构!$F$2:$F$139,"已证实（有来源）")</f>
        <v>3</v>
      </c>
    </row>
    <row r="13" customFormat="false" ht="15" hidden="false" customHeight="false" outlineLevel="0" collapsed="false">
      <c r="A13" s="9" t="s">
        <v>58</v>
      </c>
      <c r="B13" s="10" t="n">
        <f aca="false">COUNTIFS(全部机构!$B$2:$B$139,$A13)</f>
        <v>7</v>
      </c>
      <c r="C13" s="10" t="n">
        <f aca="false">COUNTIFS(全部机构!$B$2:$B$139,$A13,全部机构!$E$2:$E$139,"培训机构")</f>
        <v>0</v>
      </c>
      <c r="D13" s="10" t="n">
        <f aca="false">COUNTIFS(全部机构!$B$2:$B$139,$A13,全部机构!$E$2:$E$139,"业余俱乐部")</f>
        <v>2</v>
      </c>
      <c r="E13" s="10" t="n">
        <f aca="false">COUNTIFS(全部机构!$B$2:$B$139,$A13,全部机构!$E$2:$E$139,"职业俱乐部青训")</f>
        <v>0</v>
      </c>
      <c r="F13" s="10" t="n">
        <f aca="false">COUNTIFS(全部机构!$B$2:$B$139,$A13,全部机构!$E$2:$E$139,"海外青训分校")</f>
        <v>0</v>
      </c>
      <c r="G13" s="10" t="n">
        <f aca="false">COUNTIFS(全部机构!$B$2:$B$139,$A13,全部机构!$E$2:$E$139,"协会")</f>
        <v>3</v>
      </c>
      <c r="H13" s="10" t="n">
        <f aca="false">COUNTIFS(全部机构!$B$2:$B$139,$A13,全部机构!$E$2:$E$139,"场馆运营方")</f>
        <v>1</v>
      </c>
      <c r="I13" s="10" t="n">
        <f aca="false">COUNTIFS(全部机构!$B$2:$B$139,$A13,全部机构!$E$2:$E$139,"其他")</f>
        <v>1</v>
      </c>
      <c r="J13" s="10" t="n">
        <f aca="false">COUNTIFS(全部机构!$B$2:$B$139,$A13,全部机构!$J$2:$J$139,"&lt;&gt;")</f>
        <v>0</v>
      </c>
      <c r="K13" s="10" t="n">
        <f aca="false">COUNTIFS(全部机构!$B$2:$B$139,$A13,全部机构!$L$2:$L$139,"&lt;&gt;")</f>
        <v>0</v>
      </c>
      <c r="L13" s="10" t="n">
        <f aca="false">COUNTIFS(全部机构!$B$2:$B$139,$A13,全部机构!$U$2:$U$139,"&lt;&gt;")+COUNTIFS(全部机构!$B$2:$B$139,$A13,全部机构!$V$2:$V$139,"&lt;&gt;")+COUNTIFS(全部机构!$B$2:$B$139,$A13,全部机构!$W$2:$W$139,"&lt;&gt;")</f>
        <v>0</v>
      </c>
      <c r="M13" s="10" t="n">
        <f aca="false">COUNTIFS(全部机构!$B$2:$B$139,$A13,全部机构!$F$2:$F$139,"已证实（有来源）")</f>
        <v>1</v>
      </c>
    </row>
    <row r="14" customFormat="false" ht="15" hidden="false" customHeight="false" outlineLevel="0" collapsed="false">
      <c r="A14" s="9" t="s">
        <v>59</v>
      </c>
      <c r="B14" s="10" t="n">
        <f aca="false">COUNTIFS(全部机构!$B$2:$B$139,$A14)</f>
        <v>11</v>
      </c>
      <c r="C14" s="10" t="n">
        <f aca="false">COUNTIFS(全部机构!$B$2:$B$139,$A14,全部机构!$E$2:$E$139,"培训机构")</f>
        <v>1</v>
      </c>
      <c r="D14" s="10" t="n">
        <f aca="false">COUNTIFS(全部机构!$B$2:$B$139,$A14,全部机构!$E$2:$E$139,"业余俱乐部")</f>
        <v>7</v>
      </c>
      <c r="E14" s="10" t="n">
        <f aca="false">COUNTIFS(全部机构!$B$2:$B$139,$A14,全部机构!$E$2:$E$139,"职业俱乐部青训")</f>
        <v>0</v>
      </c>
      <c r="F14" s="10" t="n">
        <f aca="false">COUNTIFS(全部机构!$B$2:$B$139,$A14,全部机构!$E$2:$E$139,"海外青训分校")</f>
        <v>0</v>
      </c>
      <c r="G14" s="10" t="n">
        <f aca="false">COUNTIFS(全部机构!$B$2:$B$139,$A14,全部机构!$E$2:$E$139,"协会")</f>
        <v>1</v>
      </c>
      <c r="H14" s="10" t="n">
        <f aca="false">COUNTIFS(全部机构!$B$2:$B$139,$A14,全部机构!$E$2:$E$139,"场馆运营方")</f>
        <v>1</v>
      </c>
      <c r="I14" s="10" t="n">
        <f aca="false">COUNTIFS(全部机构!$B$2:$B$139,$A14,全部机构!$E$2:$E$139,"其他")</f>
        <v>1</v>
      </c>
      <c r="J14" s="10" t="n">
        <f aca="false">COUNTIFS(全部机构!$B$2:$B$139,$A14,全部机构!$J$2:$J$139,"&lt;&gt;")</f>
        <v>1</v>
      </c>
      <c r="K14" s="10" t="n">
        <f aca="false">COUNTIFS(全部机构!$B$2:$B$139,$A14,全部机构!$L$2:$L$139,"&lt;&gt;")</f>
        <v>0</v>
      </c>
      <c r="L14" s="10" t="n">
        <f aca="false">COUNTIFS(全部机构!$B$2:$B$139,$A14,全部机构!$U$2:$U$139,"&lt;&gt;")+COUNTIFS(全部机构!$B$2:$B$139,$A14,全部机构!$V$2:$V$139,"&lt;&gt;")+COUNTIFS(全部机构!$B$2:$B$139,$A14,全部机构!$W$2:$W$139,"&lt;&gt;")</f>
        <v>0</v>
      </c>
      <c r="M14" s="10" t="n">
        <f aca="false">COUNTIFS(全部机构!$B$2:$B$139,$A14,全部机构!$F$2:$F$139,"已证实（有来源）")</f>
        <v>2</v>
      </c>
    </row>
    <row r="15" customFormat="false" ht="15" hidden="false" customHeight="false" outlineLevel="0" collapsed="false">
      <c r="A15" s="9" t="s">
        <v>60</v>
      </c>
      <c r="B15" s="10" t="n">
        <f aca="false">COUNTIFS(全部机构!$B$2:$B$139,$A15)</f>
        <v>9</v>
      </c>
      <c r="C15" s="10" t="n">
        <f aca="false">COUNTIFS(全部机构!$B$2:$B$139,$A15,全部机构!$E$2:$E$139,"培训机构")</f>
        <v>4</v>
      </c>
      <c r="D15" s="10" t="n">
        <f aca="false">COUNTIFS(全部机构!$B$2:$B$139,$A15,全部机构!$E$2:$E$139,"业余俱乐部")</f>
        <v>3</v>
      </c>
      <c r="E15" s="10" t="n">
        <f aca="false">COUNTIFS(全部机构!$B$2:$B$139,$A15,全部机构!$E$2:$E$139,"职业俱乐部青训")</f>
        <v>0</v>
      </c>
      <c r="F15" s="10" t="n">
        <f aca="false">COUNTIFS(全部机构!$B$2:$B$139,$A15,全部机构!$E$2:$E$139,"海外青训分校")</f>
        <v>0</v>
      </c>
      <c r="G15" s="10" t="n">
        <f aca="false">COUNTIFS(全部机构!$B$2:$B$139,$A15,全部机构!$E$2:$E$139,"协会")</f>
        <v>1</v>
      </c>
      <c r="H15" s="10" t="n">
        <f aca="false">COUNTIFS(全部机构!$B$2:$B$139,$A15,全部机构!$E$2:$E$139,"场馆运营方")</f>
        <v>1</v>
      </c>
      <c r="I15" s="10" t="n">
        <f aca="false">COUNTIFS(全部机构!$B$2:$B$139,$A15,全部机构!$E$2:$E$139,"其他")</f>
        <v>0</v>
      </c>
      <c r="J15" s="10" t="n">
        <f aca="false">COUNTIFS(全部机构!$B$2:$B$139,$A15,全部机构!$J$2:$J$139,"&lt;&gt;")</f>
        <v>0</v>
      </c>
      <c r="K15" s="10" t="n">
        <f aca="false">COUNTIFS(全部机构!$B$2:$B$139,$A15,全部机构!$L$2:$L$139,"&lt;&gt;")</f>
        <v>0</v>
      </c>
      <c r="L15" s="10" t="n">
        <f aca="false">COUNTIFS(全部机构!$B$2:$B$139,$A15,全部机构!$U$2:$U$139,"&lt;&gt;")+COUNTIFS(全部机构!$B$2:$B$139,$A15,全部机构!$V$2:$V$139,"&lt;&gt;")+COUNTIFS(全部机构!$B$2:$B$139,$A15,全部机构!$W$2:$W$139,"&lt;&gt;")</f>
        <v>0</v>
      </c>
      <c r="M15" s="10" t="n">
        <f aca="false">COUNTIFS(全部机构!$B$2:$B$139,$A15,全部机构!$F$2:$F$139,"已证实（有来源）")</f>
        <v>3</v>
      </c>
    </row>
    <row r="16" customFormat="false" ht="15" hidden="false" customHeight="false" outlineLevel="0" collapsed="false">
      <c r="A16" s="9" t="s">
        <v>61</v>
      </c>
      <c r="B16" s="10" t="n">
        <f aca="false">COUNTIFS(全部机构!$B$2:$B$139,$A16)</f>
        <v>3</v>
      </c>
      <c r="C16" s="10" t="n">
        <f aca="false">COUNTIFS(全部机构!$B$2:$B$139,$A16,全部机构!$E$2:$E$139,"培训机构")</f>
        <v>2</v>
      </c>
      <c r="D16" s="10" t="n">
        <f aca="false">COUNTIFS(全部机构!$B$2:$B$139,$A16,全部机构!$E$2:$E$139,"业余俱乐部")</f>
        <v>0</v>
      </c>
      <c r="E16" s="10" t="n">
        <f aca="false">COUNTIFS(全部机构!$B$2:$B$139,$A16,全部机构!$E$2:$E$139,"职业俱乐部青训")</f>
        <v>0</v>
      </c>
      <c r="F16" s="10" t="n">
        <f aca="false">COUNTIFS(全部机构!$B$2:$B$139,$A16,全部机构!$E$2:$E$139,"海外青训分校")</f>
        <v>0</v>
      </c>
      <c r="G16" s="10" t="n">
        <f aca="false">COUNTIFS(全部机构!$B$2:$B$139,$A16,全部机构!$E$2:$E$139,"协会")</f>
        <v>1</v>
      </c>
      <c r="H16" s="10" t="n">
        <f aca="false">COUNTIFS(全部机构!$B$2:$B$139,$A16,全部机构!$E$2:$E$139,"场馆运营方")</f>
        <v>0</v>
      </c>
      <c r="I16" s="10" t="n">
        <f aca="false">COUNTIFS(全部机构!$B$2:$B$139,$A16,全部机构!$E$2:$E$139,"其他")</f>
        <v>0</v>
      </c>
      <c r="J16" s="10" t="n">
        <f aca="false">COUNTIFS(全部机构!$B$2:$B$139,$A16,全部机构!$J$2:$J$139,"&lt;&gt;")</f>
        <v>0</v>
      </c>
      <c r="K16" s="10" t="n">
        <f aca="false">COUNTIFS(全部机构!$B$2:$B$139,$A16,全部机构!$L$2:$L$139,"&lt;&gt;")</f>
        <v>0</v>
      </c>
      <c r="L16" s="10" t="n">
        <f aca="false">COUNTIFS(全部机构!$B$2:$B$139,$A16,全部机构!$U$2:$U$139,"&lt;&gt;")+COUNTIFS(全部机构!$B$2:$B$139,$A16,全部机构!$V$2:$V$139,"&lt;&gt;")+COUNTIFS(全部机构!$B$2:$B$139,$A16,全部机构!$W$2:$W$139,"&lt;&gt;")</f>
        <v>0</v>
      </c>
      <c r="M16" s="10" t="n">
        <f aca="false">COUNTIFS(全部机构!$B$2:$B$139,$A16,全部机构!$F$2:$F$139,"已证实（有来源）")</f>
        <v>0</v>
      </c>
    </row>
    <row r="17" customFormat="false" ht="15" hidden="false" customHeight="false" outlineLevel="0" collapsed="false">
      <c r="A17" s="9" t="s">
        <v>62</v>
      </c>
      <c r="B17" s="10" t="n">
        <f aca="false">COUNTIFS(全部机构!$B$2:$B$139,$A17)</f>
        <v>2</v>
      </c>
      <c r="C17" s="10" t="n">
        <f aca="false">COUNTIFS(全部机构!$B$2:$B$139,$A17,全部机构!$E$2:$E$139,"培训机构")</f>
        <v>0</v>
      </c>
      <c r="D17" s="10" t="n">
        <f aca="false">COUNTIFS(全部机构!$B$2:$B$139,$A17,全部机构!$E$2:$E$139,"业余俱乐部")</f>
        <v>0</v>
      </c>
      <c r="E17" s="10" t="n">
        <f aca="false">COUNTIFS(全部机构!$B$2:$B$139,$A17,全部机构!$E$2:$E$139,"职业俱乐部青训")</f>
        <v>0</v>
      </c>
      <c r="F17" s="10" t="n">
        <f aca="false">COUNTIFS(全部机构!$B$2:$B$139,$A17,全部机构!$E$2:$E$139,"海外青训分校")</f>
        <v>0</v>
      </c>
      <c r="G17" s="10" t="n">
        <f aca="false">COUNTIFS(全部机构!$B$2:$B$139,$A17,全部机构!$E$2:$E$139,"协会")</f>
        <v>1</v>
      </c>
      <c r="H17" s="10" t="n">
        <f aca="false">COUNTIFS(全部机构!$B$2:$B$139,$A17,全部机构!$E$2:$E$139,"场馆运营方")</f>
        <v>1</v>
      </c>
      <c r="I17" s="10" t="n">
        <f aca="false">COUNTIFS(全部机构!$B$2:$B$139,$A17,全部机构!$E$2:$E$139,"其他")</f>
        <v>0</v>
      </c>
      <c r="J17" s="10" t="n">
        <f aca="false">COUNTIFS(全部机构!$B$2:$B$139,$A17,全部机构!$J$2:$J$139,"&lt;&gt;")</f>
        <v>0</v>
      </c>
      <c r="K17" s="10" t="n">
        <f aca="false">COUNTIFS(全部机构!$B$2:$B$139,$A17,全部机构!$L$2:$L$139,"&lt;&gt;")</f>
        <v>0</v>
      </c>
      <c r="L17" s="10" t="n">
        <f aca="false">COUNTIFS(全部机构!$B$2:$B$139,$A17,全部机构!$U$2:$U$139,"&lt;&gt;")+COUNTIFS(全部机构!$B$2:$B$139,$A17,全部机构!$V$2:$V$139,"&lt;&gt;")+COUNTIFS(全部机构!$B$2:$B$139,$A17,全部机构!$W$2:$W$139,"&lt;&gt;")</f>
        <v>0</v>
      </c>
      <c r="M17" s="10" t="n">
        <f aca="false">COUNTIFS(全部机构!$B$2:$B$139,$A17,全部机构!$F$2:$F$139,"已证实（有来源）")</f>
        <v>1</v>
      </c>
    </row>
    <row r="18" customFormat="false" ht="15" hidden="false" customHeight="false" outlineLevel="0" collapsed="false">
      <c r="A18" s="9" t="s">
        <v>63</v>
      </c>
      <c r="B18" s="10" t="n">
        <f aca="false">COUNTIFS(全部机构!$B$2:$B$139,$A18)</f>
        <v>5</v>
      </c>
      <c r="C18" s="10" t="n">
        <f aca="false">COUNTIFS(全部机构!$B$2:$B$139,$A18,全部机构!$E$2:$E$139,"培训机构")</f>
        <v>1</v>
      </c>
      <c r="D18" s="10" t="n">
        <f aca="false">COUNTIFS(全部机构!$B$2:$B$139,$A18,全部机构!$E$2:$E$139,"业余俱乐部")</f>
        <v>0</v>
      </c>
      <c r="E18" s="10" t="n">
        <f aca="false">COUNTIFS(全部机构!$B$2:$B$139,$A18,全部机构!$E$2:$E$139,"职业俱乐部青训")</f>
        <v>1</v>
      </c>
      <c r="F18" s="10" t="n">
        <f aca="false">COUNTIFS(全部机构!$B$2:$B$139,$A18,全部机构!$E$2:$E$139,"海外青训分校")</f>
        <v>0</v>
      </c>
      <c r="G18" s="10" t="n">
        <f aca="false">COUNTIFS(全部机构!$B$2:$B$139,$A18,全部机构!$E$2:$E$139,"协会")</f>
        <v>1</v>
      </c>
      <c r="H18" s="10" t="n">
        <f aca="false">COUNTIFS(全部机构!$B$2:$B$139,$A18,全部机构!$E$2:$E$139,"场馆运营方")</f>
        <v>0</v>
      </c>
      <c r="I18" s="10" t="n">
        <f aca="false">COUNTIFS(全部机构!$B$2:$B$139,$A18,全部机构!$E$2:$E$139,"其他")</f>
        <v>2</v>
      </c>
      <c r="J18" s="10" t="n">
        <f aca="false">COUNTIFS(全部机构!$B$2:$B$139,$A18,全部机构!$J$2:$J$139,"&lt;&gt;")</f>
        <v>0</v>
      </c>
      <c r="K18" s="10" t="n">
        <f aca="false">COUNTIFS(全部机构!$B$2:$B$139,$A18,全部机构!$L$2:$L$139,"&lt;&gt;")</f>
        <v>1</v>
      </c>
      <c r="L18" s="10" t="n">
        <f aca="false">COUNTIFS(全部机构!$B$2:$B$139,$A18,全部机构!$U$2:$U$139,"&lt;&gt;")+COUNTIFS(全部机构!$B$2:$B$139,$A18,全部机构!$V$2:$V$139,"&lt;&gt;")+COUNTIFS(全部机构!$B$2:$B$139,$A18,全部机构!$W$2:$W$139,"&lt;&gt;")</f>
        <v>0</v>
      </c>
      <c r="M18" s="10" t="n">
        <f aca="false">COUNTIFS(全部机构!$B$2:$B$139,$A18,全部机构!$F$2:$F$139,"已证实（有来源）")</f>
        <v>3</v>
      </c>
    </row>
    <row r="19" customFormat="false" ht="15" hidden="false" customHeight="false" outlineLevel="0" collapsed="false">
      <c r="A19" s="9" t="s">
        <v>64</v>
      </c>
      <c r="B19" s="10" t="n">
        <f aca="false">COUNTIFS(全部机构!$B$2:$B$139,$A19)</f>
        <v>2</v>
      </c>
      <c r="C19" s="10" t="n">
        <f aca="false">COUNTIFS(全部机构!$B$2:$B$139,$A19,全部机构!$E$2:$E$139,"培训机构")</f>
        <v>0</v>
      </c>
      <c r="D19" s="10" t="n">
        <f aca="false">COUNTIFS(全部机构!$B$2:$B$139,$A19,全部机构!$E$2:$E$139,"业余俱乐部")</f>
        <v>2</v>
      </c>
      <c r="E19" s="10" t="n">
        <f aca="false">COUNTIFS(全部机构!$B$2:$B$139,$A19,全部机构!$E$2:$E$139,"职业俱乐部青训")</f>
        <v>0</v>
      </c>
      <c r="F19" s="10" t="n">
        <f aca="false">COUNTIFS(全部机构!$B$2:$B$139,$A19,全部机构!$E$2:$E$139,"海外青训分校")</f>
        <v>0</v>
      </c>
      <c r="G19" s="10" t="n">
        <f aca="false">COUNTIFS(全部机构!$B$2:$B$139,$A19,全部机构!$E$2:$E$139,"协会")</f>
        <v>0</v>
      </c>
      <c r="H19" s="10" t="n">
        <f aca="false">COUNTIFS(全部机构!$B$2:$B$139,$A19,全部机构!$E$2:$E$139,"场馆运营方")</f>
        <v>0</v>
      </c>
      <c r="I19" s="10" t="n">
        <f aca="false">COUNTIFS(全部机构!$B$2:$B$139,$A19,全部机构!$E$2:$E$139,"其他")</f>
        <v>0</v>
      </c>
      <c r="J19" s="10" t="n">
        <f aca="false">COUNTIFS(全部机构!$B$2:$B$139,$A19,全部机构!$J$2:$J$139,"&lt;&gt;")</f>
        <v>1</v>
      </c>
      <c r="K19" s="10" t="n">
        <f aca="false">COUNTIFS(全部机构!$B$2:$B$139,$A19,全部机构!$L$2:$L$139,"&lt;&gt;")</f>
        <v>0</v>
      </c>
      <c r="L19" s="10" t="n">
        <f aca="false">COUNTIFS(全部机构!$B$2:$B$139,$A19,全部机构!$U$2:$U$139,"&lt;&gt;")+COUNTIFS(全部机构!$B$2:$B$139,$A19,全部机构!$V$2:$V$139,"&lt;&gt;")+COUNTIFS(全部机构!$B$2:$B$139,$A19,全部机构!$W$2:$W$139,"&lt;&gt;")</f>
        <v>0</v>
      </c>
      <c r="M19" s="10" t="n">
        <f aca="false">COUNTIFS(全部机构!$B$2:$B$139,$A19,全部机构!$F$2:$F$139,"已证实（有来源）")</f>
        <v>0</v>
      </c>
    </row>
    <row r="20" customFormat="false" ht="15" hidden="false" customHeight="false" outlineLevel="0" collapsed="false">
      <c r="A20" s="9" t="s">
        <v>65</v>
      </c>
      <c r="B20" s="10" t="n">
        <f aca="false">COUNTIFS(全部机构!$B$2:$B$139,$A20)</f>
        <v>0</v>
      </c>
      <c r="C20" s="10" t="n">
        <f aca="false">COUNTIFS(全部机构!$B$2:$B$139,$A20,全部机构!$E$2:$E$139,"培训机构")</f>
        <v>0</v>
      </c>
      <c r="D20" s="10" t="n">
        <f aca="false">COUNTIFS(全部机构!$B$2:$B$139,$A20,全部机构!$E$2:$E$139,"业余俱乐部")</f>
        <v>0</v>
      </c>
      <c r="E20" s="10" t="n">
        <f aca="false">COUNTIFS(全部机构!$B$2:$B$139,$A20,全部机构!$E$2:$E$139,"职业俱乐部青训")</f>
        <v>0</v>
      </c>
      <c r="F20" s="10" t="n">
        <f aca="false">COUNTIFS(全部机构!$B$2:$B$139,$A20,全部机构!$E$2:$E$139,"海外青训分校")</f>
        <v>0</v>
      </c>
      <c r="G20" s="10" t="n">
        <f aca="false">COUNTIFS(全部机构!$B$2:$B$139,$A20,全部机构!$E$2:$E$139,"协会")</f>
        <v>0</v>
      </c>
      <c r="H20" s="10" t="n">
        <f aca="false">COUNTIFS(全部机构!$B$2:$B$139,$A20,全部机构!$E$2:$E$139,"场馆运营方")</f>
        <v>0</v>
      </c>
      <c r="I20" s="10" t="n">
        <f aca="false">COUNTIFS(全部机构!$B$2:$B$139,$A20,全部机构!$E$2:$E$139,"其他")</f>
        <v>0</v>
      </c>
      <c r="J20" s="10" t="n">
        <f aca="false">COUNTIFS(全部机构!$B$2:$B$139,$A20,全部机构!$J$2:$J$139,"&lt;&gt;")</f>
        <v>0</v>
      </c>
      <c r="K20" s="10" t="n">
        <f aca="false">COUNTIFS(全部机构!$B$2:$B$139,$A20,全部机构!$L$2:$L$139,"&lt;&gt;")</f>
        <v>0</v>
      </c>
      <c r="L20" s="10" t="n">
        <f aca="false">COUNTIFS(全部机构!$B$2:$B$139,$A20,全部机构!$U$2:$U$139,"&lt;&gt;")+COUNTIFS(全部机构!$B$2:$B$139,$A20,全部机构!$V$2:$V$139,"&lt;&gt;")+COUNTIFS(全部机构!$B$2:$B$139,$A20,全部机构!$W$2:$W$139,"&lt;&gt;")</f>
        <v>0</v>
      </c>
      <c r="M20" s="10" t="n">
        <f aca="false">COUNTIFS(全部机构!$B$2:$B$139,$A20,全部机构!$F$2:$F$139,"已证实（有来源）")</f>
        <v>0</v>
      </c>
    </row>
    <row r="21" customFormat="false" ht="15" hidden="false" customHeight="false" outlineLevel="0" collapsed="false">
      <c r="A21" s="9" t="s">
        <v>66</v>
      </c>
      <c r="B21" s="10" t="n">
        <f aca="false">COUNTIFS(全部机构!$B$2:$B$139,$A21)</f>
        <v>2</v>
      </c>
      <c r="C21" s="10" t="n">
        <f aca="false">COUNTIFS(全部机构!$B$2:$B$139,$A21,全部机构!$E$2:$E$139,"培训机构")</f>
        <v>0</v>
      </c>
      <c r="D21" s="10" t="n">
        <f aca="false">COUNTIFS(全部机构!$B$2:$B$139,$A21,全部机构!$E$2:$E$139,"业余俱乐部")</f>
        <v>1</v>
      </c>
      <c r="E21" s="10" t="n">
        <f aca="false">COUNTIFS(全部机构!$B$2:$B$139,$A21,全部机构!$E$2:$E$139,"职业俱乐部青训")</f>
        <v>0</v>
      </c>
      <c r="F21" s="10" t="n">
        <f aca="false">COUNTIFS(全部机构!$B$2:$B$139,$A21,全部机构!$E$2:$E$139,"海外青训分校")</f>
        <v>0</v>
      </c>
      <c r="G21" s="10" t="n">
        <f aca="false">COUNTIFS(全部机构!$B$2:$B$139,$A21,全部机构!$E$2:$E$139,"协会")</f>
        <v>1</v>
      </c>
      <c r="H21" s="10" t="n">
        <f aca="false">COUNTIFS(全部机构!$B$2:$B$139,$A21,全部机构!$E$2:$E$139,"场馆运营方")</f>
        <v>0</v>
      </c>
      <c r="I21" s="10" t="n">
        <f aca="false">COUNTIFS(全部机构!$B$2:$B$139,$A21,全部机构!$E$2:$E$139,"其他")</f>
        <v>0</v>
      </c>
      <c r="J21" s="10" t="n">
        <f aca="false">COUNTIFS(全部机构!$B$2:$B$139,$A21,全部机构!$J$2:$J$139,"&lt;&gt;")</f>
        <v>0</v>
      </c>
      <c r="K21" s="10" t="n">
        <f aca="false">COUNTIFS(全部机构!$B$2:$B$139,$A21,全部机构!$L$2:$L$139,"&lt;&gt;")</f>
        <v>0</v>
      </c>
      <c r="L21" s="10" t="n">
        <f aca="false">COUNTIFS(全部机构!$B$2:$B$139,$A21,全部机构!$U$2:$U$139,"&lt;&gt;")+COUNTIFS(全部机构!$B$2:$B$139,$A21,全部机构!$V$2:$V$139,"&lt;&gt;")+COUNTIFS(全部机构!$B$2:$B$139,$A21,全部机构!$W$2:$W$139,"&lt;&gt;")</f>
        <v>0</v>
      </c>
      <c r="M21" s="10" t="n">
        <f aca="false">COUNTIFS(全部机构!$B$2:$B$139,$A21,全部机构!$F$2:$F$139,"已证实（有来源）")</f>
        <v>0</v>
      </c>
    </row>
    <row r="22" customFormat="false" ht="15" hidden="false" customHeight="false" outlineLevel="0" collapsed="false">
      <c r="A22" s="9" t="s">
        <v>67</v>
      </c>
      <c r="B22" s="10" t="n">
        <f aca="false">COUNTIFS(全部机构!$B$2:$B$139,$A22)</f>
        <v>4</v>
      </c>
      <c r="C22" s="10" t="n">
        <f aca="false">COUNTIFS(全部机构!$B$2:$B$139,$A22,全部机构!$E$2:$E$139,"培训机构")</f>
        <v>1</v>
      </c>
      <c r="D22" s="10" t="n">
        <f aca="false">COUNTIFS(全部机构!$B$2:$B$139,$A22,全部机构!$E$2:$E$139,"业余俱乐部")</f>
        <v>1</v>
      </c>
      <c r="E22" s="10" t="n">
        <f aca="false">COUNTIFS(全部机构!$B$2:$B$139,$A22,全部机构!$E$2:$E$139,"职业俱乐部青训")</f>
        <v>0</v>
      </c>
      <c r="F22" s="10" t="n">
        <f aca="false">COUNTIFS(全部机构!$B$2:$B$139,$A22,全部机构!$E$2:$E$139,"海外青训分校")</f>
        <v>0</v>
      </c>
      <c r="G22" s="10" t="n">
        <f aca="false">COUNTIFS(全部机构!$B$2:$B$139,$A22,全部机构!$E$2:$E$139,"协会")</f>
        <v>1</v>
      </c>
      <c r="H22" s="10" t="n">
        <f aca="false">COUNTIFS(全部机构!$B$2:$B$139,$A22,全部机构!$E$2:$E$139,"场馆运营方")</f>
        <v>0</v>
      </c>
      <c r="I22" s="10" t="n">
        <f aca="false">COUNTIFS(全部机构!$B$2:$B$139,$A22,全部机构!$E$2:$E$139,"其他")</f>
        <v>1</v>
      </c>
      <c r="J22" s="10" t="n">
        <f aca="false">COUNTIFS(全部机构!$B$2:$B$139,$A22,全部机构!$J$2:$J$139,"&lt;&gt;")</f>
        <v>1</v>
      </c>
      <c r="K22" s="10" t="n">
        <f aca="false">COUNTIFS(全部机构!$B$2:$B$139,$A22,全部机构!$L$2:$L$139,"&lt;&gt;")</f>
        <v>0</v>
      </c>
      <c r="L22" s="10" t="n">
        <f aca="false">COUNTIFS(全部机构!$B$2:$B$139,$A22,全部机构!$U$2:$U$139,"&lt;&gt;")+COUNTIFS(全部机构!$B$2:$B$139,$A22,全部机构!$V$2:$V$139,"&lt;&gt;")+COUNTIFS(全部机构!$B$2:$B$139,$A22,全部机构!$W$2:$W$139,"&lt;&gt;")</f>
        <v>0</v>
      </c>
      <c r="M22" s="10" t="n">
        <f aca="false">COUNTIFS(全部机构!$B$2:$B$139,$A22,全部机构!$F$2:$F$139,"已证实（有来源）")</f>
        <v>0</v>
      </c>
    </row>
    <row r="23" customFormat="false" ht="15" hidden="false" customHeight="false" outlineLevel="0" collapsed="false">
      <c r="A23" s="9" t="s">
        <v>68</v>
      </c>
      <c r="B23" s="10" t="n">
        <f aca="false">COUNTIFS(全部机构!$B$2:$B$139,$A23)</f>
        <v>4</v>
      </c>
      <c r="C23" s="10" t="n">
        <f aca="false">COUNTIFS(全部机构!$B$2:$B$139,$A23,全部机构!$E$2:$E$139,"培训机构")</f>
        <v>0</v>
      </c>
      <c r="D23" s="10" t="n">
        <f aca="false">COUNTIFS(全部机构!$B$2:$B$139,$A23,全部机构!$E$2:$E$139,"业余俱乐部")</f>
        <v>1</v>
      </c>
      <c r="E23" s="10" t="n">
        <f aca="false">COUNTIFS(全部机构!$B$2:$B$139,$A23,全部机构!$E$2:$E$139,"职业俱乐部青训")</f>
        <v>0</v>
      </c>
      <c r="F23" s="10" t="n">
        <f aca="false">COUNTIFS(全部机构!$B$2:$B$139,$A23,全部机构!$E$2:$E$139,"海外青训分校")</f>
        <v>0</v>
      </c>
      <c r="G23" s="10" t="n">
        <f aca="false">COUNTIFS(全部机构!$B$2:$B$139,$A23,全部机构!$E$2:$E$139,"协会")</f>
        <v>1</v>
      </c>
      <c r="H23" s="10" t="n">
        <f aca="false">COUNTIFS(全部机构!$B$2:$B$139,$A23,全部机构!$E$2:$E$139,"场馆运营方")</f>
        <v>1</v>
      </c>
      <c r="I23" s="10" t="n">
        <f aca="false">COUNTIFS(全部机构!$B$2:$B$139,$A23,全部机构!$E$2:$E$139,"其他")</f>
        <v>1</v>
      </c>
      <c r="J23" s="10" t="n">
        <f aca="false">COUNTIFS(全部机构!$B$2:$B$139,$A23,全部机构!$J$2:$J$139,"&lt;&gt;")</f>
        <v>0</v>
      </c>
      <c r="K23" s="10" t="n">
        <f aca="false">COUNTIFS(全部机构!$B$2:$B$139,$A23,全部机构!$L$2:$L$139,"&lt;&gt;")</f>
        <v>0</v>
      </c>
      <c r="L23" s="10" t="n">
        <f aca="false">COUNTIFS(全部机构!$B$2:$B$139,$A23,全部机构!$U$2:$U$139,"&lt;&gt;")+COUNTIFS(全部机构!$B$2:$B$139,$A23,全部机构!$V$2:$V$139,"&lt;&gt;")+COUNTIFS(全部机构!$B$2:$B$139,$A23,全部机构!$W$2:$W$139,"&lt;&gt;")</f>
        <v>0</v>
      </c>
      <c r="M23" s="10" t="n">
        <f aca="false">COUNTIFS(全部机构!$B$2:$B$139,$A23,全部机构!$F$2:$F$139,"已证实（有来源）")</f>
        <v>1</v>
      </c>
    </row>
    <row r="24" customFormat="false" ht="15" hidden="false" customHeight="false" outlineLevel="0" collapsed="false">
      <c r="A24" s="9" t="s">
        <v>69</v>
      </c>
      <c r="B24" s="10" t="n">
        <f aca="false">COUNTIFS(全部机构!$B$2:$B$139,$A24)</f>
        <v>1</v>
      </c>
      <c r="C24" s="10" t="n">
        <f aca="false">COUNTIFS(全部机构!$B$2:$B$139,$A24,全部机构!$E$2:$E$139,"培训机构")</f>
        <v>0</v>
      </c>
      <c r="D24" s="10" t="n">
        <f aca="false">COUNTIFS(全部机构!$B$2:$B$139,$A24,全部机构!$E$2:$E$139,"业余俱乐部")</f>
        <v>0</v>
      </c>
      <c r="E24" s="10" t="n">
        <f aca="false">COUNTIFS(全部机构!$B$2:$B$139,$A24,全部机构!$E$2:$E$139,"职业俱乐部青训")</f>
        <v>0</v>
      </c>
      <c r="F24" s="10" t="n">
        <f aca="false">COUNTIFS(全部机构!$B$2:$B$139,$A24,全部机构!$E$2:$E$139,"海外青训分校")</f>
        <v>0</v>
      </c>
      <c r="G24" s="10" t="n">
        <f aca="false">COUNTIFS(全部机构!$B$2:$B$139,$A24,全部机构!$E$2:$E$139,"协会")</f>
        <v>1</v>
      </c>
      <c r="H24" s="10" t="n">
        <f aca="false">COUNTIFS(全部机构!$B$2:$B$139,$A24,全部机构!$E$2:$E$139,"场馆运营方")</f>
        <v>0</v>
      </c>
      <c r="I24" s="10" t="n">
        <f aca="false">COUNTIFS(全部机构!$B$2:$B$139,$A24,全部机构!$E$2:$E$139,"其他")</f>
        <v>0</v>
      </c>
      <c r="J24" s="10" t="n">
        <f aca="false">COUNTIFS(全部机构!$B$2:$B$139,$A24,全部机构!$J$2:$J$139,"&lt;&gt;")</f>
        <v>0</v>
      </c>
      <c r="K24" s="10" t="n">
        <f aca="false">COUNTIFS(全部机构!$B$2:$B$139,$A24,全部机构!$L$2:$L$139,"&lt;&gt;")</f>
        <v>0</v>
      </c>
      <c r="L24" s="10" t="n">
        <f aca="false">COUNTIFS(全部机构!$B$2:$B$139,$A24,全部机构!$U$2:$U$139,"&lt;&gt;")+COUNTIFS(全部机构!$B$2:$B$139,$A24,全部机构!$V$2:$V$139,"&lt;&gt;")+COUNTIFS(全部机构!$B$2:$B$139,$A24,全部机构!$W$2:$W$139,"&lt;&gt;")</f>
        <v>0</v>
      </c>
      <c r="M24" s="10" t="n">
        <f aca="false">COUNTIFS(全部机构!$B$2:$B$139,$A24,全部机构!$F$2:$F$139,"已证实（有来源）")</f>
        <v>0</v>
      </c>
    </row>
    <row r="25" customFormat="false" ht="15" hidden="false" customHeight="false" outlineLevel="0" collapsed="false">
      <c r="A25" s="9" t="s">
        <v>70</v>
      </c>
      <c r="B25" s="10" t="n">
        <f aca="false">COUNTIFS(全部机构!$B$2:$B$139,$A25)</f>
        <v>14</v>
      </c>
      <c r="C25" s="10" t="n">
        <f aca="false">COUNTIFS(全部机构!$B$2:$B$139,$A25,全部机构!$E$2:$E$139,"培训机构")</f>
        <v>5</v>
      </c>
      <c r="D25" s="10" t="n">
        <f aca="false">COUNTIFS(全部机构!$B$2:$B$139,$A25,全部机构!$E$2:$E$139,"业余俱乐部")</f>
        <v>1</v>
      </c>
      <c r="E25" s="10" t="n">
        <f aca="false">COUNTIFS(全部机构!$B$2:$B$139,$A25,全部机构!$E$2:$E$139,"职业俱乐部青训")</f>
        <v>1</v>
      </c>
      <c r="F25" s="10" t="n">
        <f aca="false">COUNTIFS(全部机构!$B$2:$B$139,$A25,全部机构!$E$2:$E$139,"海外青训分校")</f>
        <v>4</v>
      </c>
      <c r="G25" s="10" t="n">
        <f aca="false">COUNTIFS(全部机构!$B$2:$B$139,$A25,全部机构!$E$2:$E$139,"协会")</f>
        <v>2</v>
      </c>
      <c r="H25" s="10" t="n">
        <f aca="false">COUNTIFS(全部机构!$B$2:$B$139,$A25,全部机构!$E$2:$E$139,"场馆运营方")</f>
        <v>0</v>
      </c>
      <c r="I25" s="10" t="n">
        <f aca="false">COUNTIFS(全部机构!$B$2:$B$139,$A25,全部机构!$E$2:$E$139,"其他")</f>
        <v>1</v>
      </c>
      <c r="J25" s="10" t="n">
        <f aca="false">COUNTIFS(全部机构!$B$2:$B$139,$A25,全部机构!$J$2:$J$139,"&lt;&gt;")</f>
        <v>0</v>
      </c>
      <c r="K25" s="10" t="n">
        <f aca="false">COUNTIFS(全部机构!$B$2:$B$139,$A25,全部机构!$L$2:$L$139,"&lt;&gt;")</f>
        <v>6</v>
      </c>
      <c r="L25" s="10" t="n">
        <f aca="false">COUNTIFS(全部机构!$B$2:$B$139,$A25,全部机构!$U$2:$U$139,"&lt;&gt;")+COUNTIFS(全部机构!$B$2:$B$139,$A25,全部机构!$V$2:$V$139,"&lt;&gt;")+COUNTIFS(全部机构!$B$2:$B$139,$A25,全部机构!$W$2:$W$139,"&lt;&gt;")</f>
        <v>0</v>
      </c>
      <c r="M25" s="10" t="n">
        <f aca="false">COUNTIFS(全部机构!$B$2:$B$139,$A25,全部机构!$F$2:$F$139,"已证实（有来源）")</f>
        <v>11</v>
      </c>
    </row>
    <row r="26" customFormat="false" ht="15" hidden="false" customHeight="false" outlineLevel="0" collapsed="false">
      <c r="A26" s="11" t="s">
        <v>35</v>
      </c>
      <c r="B26" s="12" t="n">
        <f aca="false">SUM(B2:B25)</f>
        <v>138</v>
      </c>
      <c r="C26" s="12" t="n">
        <f aca="false">SUM(C2:C25)</f>
        <v>41</v>
      </c>
      <c r="D26" s="12" t="n">
        <f aca="false">SUM(D2:D25)</f>
        <v>54</v>
      </c>
      <c r="E26" s="12" t="n">
        <f aca="false">SUM(E2:E25)</f>
        <v>4</v>
      </c>
      <c r="F26" s="12" t="n">
        <f aca="false">SUM(F2:F25)</f>
        <v>6</v>
      </c>
      <c r="G26" s="12" t="n">
        <f aca="false">SUM(G2:G25)</f>
        <v>17</v>
      </c>
      <c r="H26" s="12" t="n">
        <f aca="false">SUM(H2:H25)</f>
        <v>9</v>
      </c>
      <c r="I26" s="12" t="n">
        <f aca="false">SUM(I2:I25)</f>
        <v>7</v>
      </c>
      <c r="J26" s="12" t="n">
        <f aca="false">SUM(J2:J25)</f>
        <v>19</v>
      </c>
      <c r="K26" s="12" t="n">
        <f aca="false">SUM(K2:K25)</f>
        <v>18</v>
      </c>
      <c r="L26" s="12" t="n">
        <f aca="false">SUM(L2:L25)</f>
        <v>2</v>
      </c>
      <c r="M26" s="12" t="n">
        <f aca="false">SUM(M2:M25)</f>
        <v>49</v>
      </c>
    </row>
    <row r="28" customFormat="false" ht="15" hidden="false" customHeight="false" outlineLevel="0" collapsed="false">
      <c r="A28" s="5"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47</v>
      </c>
      <c r="C2" s="14" t="s">
        <v>95</v>
      </c>
      <c r="D2" s="13" t="s">
        <v>96</v>
      </c>
      <c r="E2" s="13" t="s">
        <v>37</v>
      </c>
      <c r="F2" s="13" t="s">
        <v>97</v>
      </c>
      <c r="G2" s="13" t="s">
        <v>98</v>
      </c>
      <c r="H2" s="13" t="s">
        <v>99</v>
      </c>
      <c r="I2" s="14" t="s">
        <v>100</v>
      </c>
      <c r="J2" s="13" t="s">
        <v>101</v>
      </c>
      <c r="K2" s="14" t="s">
        <v>102</v>
      </c>
      <c r="L2" s="13" t="n">
        <v>2015</v>
      </c>
      <c r="M2" s="13" t="n">
        <f aca="false">IF(L2="","",说明!$B$4-L2)</f>
        <v>11</v>
      </c>
      <c r="N2" s="14" t="s">
        <v>103</v>
      </c>
      <c r="O2" s="15"/>
      <c r="P2" s="13" t="n">
        <v>200</v>
      </c>
      <c r="Q2" s="14" t="s">
        <v>104</v>
      </c>
      <c r="R2" s="13" t="str">
        <f aca="false">IF(AND(P2="",O2=""),"",IF(OR(N(P2)&gt;=说明!$B$5,N(O2)&gt;=说明!$B$6),"大型",IF(OR(N(P2)&gt;=说明!$B$7,N(O2)&gt;=说明!$B$8),"中型","小型")))</f>
        <v>中型</v>
      </c>
      <c r="S2" s="14" t="s">
        <v>105</v>
      </c>
      <c r="T2" s="13" t="s">
        <v>106</v>
      </c>
      <c r="U2" s="15"/>
      <c r="V2" s="15"/>
      <c r="W2" s="13"/>
      <c r="X2" s="14"/>
      <c r="Y2" s="14" t="s">
        <v>107</v>
      </c>
      <c r="Z2" s="16" t="s">
        <v>108</v>
      </c>
      <c r="AA2" s="13" t="s">
        <v>109</v>
      </c>
      <c r="AB2" s="14" t="s">
        <v>110</v>
      </c>
    </row>
    <row r="3" customFormat="false" ht="48" hidden="false" customHeight="true" outlineLevel="0" collapsed="false">
      <c r="A3" s="13" t="n">
        <v>2</v>
      </c>
      <c r="B3" s="13" t="s">
        <v>47</v>
      </c>
      <c r="C3" s="14" t="s">
        <v>111</v>
      </c>
      <c r="D3" s="13" t="s">
        <v>112</v>
      </c>
      <c r="E3" s="13" t="s">
        <v>36</v>
      </c>
      <c r="F3" s="13" t="s">
        <v>97</v>
      </c>
      <c r="G3" s="13" t="s">
        <v>98</v>
      </c>
      <c r="H3" s="13"/>
      <c r="I3" s="14" t="s">
        <v>113</v>
      </c>
      <c r="J3" s="13" t="s">
        <v>114</v>
      </c>
      <c r="K3" s="14"/>
      <c r="L3" s="15"/>
      <c r="M3" s="13" t="str">
        <f aca="false">IF(L3="","",说明!$B$4-L3)</f>
        <v/>
      </c>
      <c r="N3" s="14"/>
      <c r="O3" s="15"/>
      <c r="P3" s="15"/>
      <c r="Q3" s="14" t="s">
        <v>115</v>
      </c>
      <c r="R3" s="13" t="str">
        <f aca="false">IF(AND(P3="",O3=""),"",IF(OR(N(P3)&gt;=说明!$B$5,N(O3)&gt;=说明!$B$6),"大型",IF(OR(N(P3)&gt;=说明!$B$7,N(O3)&gt;=说明!$B$8),"中型","小型")))</f>
        <v/>
      </c>
      <c r="S3" s="14" t="s">
        <v>116</v>
      </c>
      <c r="T3" s="13"/>
      <c r="U3" s="15"/>
      <c r="V3" s="15"/>
      <c r="W3" s="13"/>
      <c r="X3" s="14"/>
      <c r="Y3" s="14"/>
      <c r="Z3" s="16" t="s">
        <v>117</v>
      </c>
      <c r="AA3" s="13" t="s">
        <v>118</v>
      </c>
      <c r="AB3" s="14"/>
    </row>
    <row r="4" customFormat="false" ht="48" hidden="false" customHeight="true" outlineLevel="0" collapsed="false">
      <c r="A4" s="13" t="n">
        <v>3</v>
      </c>
      <c r="B4" s="13" t="s">
        <v>47</v>
      </c>
      <c r="C4" s="14" t="s">
        <v>119</v>
      </c>
      <c r="D4" s="13" t="s">
        <v>120</v>
      </c>
      <c r="E4" s="13" t="s">
        <v>36</v>
      </c>
      <c r="F4" s="13" t="s">
        <v>97</v>
      </c>
      <c r="G4" s="13" t="s">
        <v>98</v>
      </c>
      <c r="H4" s="13"/>
      <c r="I4" s="14" t="s">
        <v>121</v>
      </c>
      <c r="J4" s="15"/>
      <c r="K4" s="14" t="s">
        <v>122</v>
      </c>
      <c r="L4" s="15"/>
      <c r="M4" s="13" t="str">
        <f aca="false">IF(L4="","",说明!$B$4-L4)</f>
        <v/>
      </c>
      <c r="N4" s="14"/>
      <c r="O4" s="15"/>
      <c r="P4" s="15"/>
      <c r="Q4" s="14" t="s">
        <v>123</v>
      </c>
      <c r="R4" s="13" t="str">
        <f aca="false">IF(AND(P4="",O4=""),"",IF(OR(N(P4)&gt;=说明!$B$5,N(O4)&gt;=说明!$B$6),"大型",IF(OR(N(P4)&gt;=说明!$B$7,N(O4)&gt;=说明!$B$8),"中型","小型")))</f>
        <v/>
      </c>
      <c r="S4" s="14"/>
      <c r="T4" s="13"/>
      <c r="U4" s="15"/>
      <c r="V4" s="15"/>
      <c r="W4" s="13" t="s">
        <v>124</v>
      </c>
      <c r="X4" s="14"/>
      <c r="Y4" s="14"/>
      <c r="Z4" s="16" t="s">
        <v>125</v>
      </c>
      <c r="AA4" s="13" t="s">
        <v>118</v>
      </c>
      <c r="AB4" s="14"/>
    </row>
    <row r="5" customFormat="false" ht="48" hidden="false" customHeight="true" outlineLevel="0" collapsed="false">
      <c r="A5" s="13" t="n">
        <v>4</v>
      </c>
      <c r="B5" s="13" t="s">
        <v>47</v>
      </c>
      <c r="C5" s="14" t="s">
        <v>126</v>
      </c>
      <c r="D5" s="13" t="s">
        <v>126</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129</v>
      </c>
      <c r="AA5" s="13" t="s">
        <v>118</v>
      </c>
      <c r="AB5" s="14"/>
    </row>
    <row r="6" customFormat="false" ht="48" hidden="false" customHeight="true" outlineLevel="0" collapsed="false">
      <c r="A6" s="13" t="n">
        <v>5</v>
      </c>
      <c r="B6" s="13" t="s">
        <v>47</v>
      </c>
      <c r="C6" s="14" t="s">
        <v>130</v>
      </c>
      <c r="D6" s="13" t="s">
        <v>130</v>
      </c>
      <c r="E6" s="13" t="s">
        <v>37</v>
      </c>
      <c r="F6" s="13" t="s">
        <v>131</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132</v>
      </c>
      <c r="AA6" s="13" t="s">
        <v>118</v>
      </c>
      <c r="AB6" s="14"/>
    </row>
    <row r="7" customFormat="false" ht="48" hidden="false" customHeight="true" outlineLevel="0" collapsed="false">
      <c r="A7" s="13" t="n">
        <v>6</v>
      </c>
      <c r="B7" s="13" t="s">
        <v>47</v>
      </c>
      <c r="C7" s="14" t="s">
        <v>133</v>
      </c>
      <c r="D7" s="13" t="s">
        <v>133</v>
      </c>
      <c r="E7" s="13" t="s">
        <v>37</v>
      </c>
      <c r="F7" s="13" t="s">
        <v>131</v>
      </c>
      <c r="G7" s="13" t="s">
        <v>134</v>
      </c>
      <c r="H7" s="13"/>
      <c r="I7" s="14" t="s">
        <v>135</v>
      </c>
      <c r="J7" s="13" t="s">
        <v>136</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47</v>
      </c>
      <c r="C8" s="14" t="s">
        <v>138</v>
      </c>
      <c r="D8" s="13" t="s">
        <v>138</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139</v>
      </c>
      <c r="AA8" s="13" t="s">
        <v>118</v>
      </c>
      <c r="AB8" s="14"/>
    </row>
    <row r="9" customFormat="false" ht="48" hidden="false" customHeight="true" outlineLevel="0" collapsed="false">
      <c r="A9" s="13" t="n">
        <v>8</v>
      </c>
      <c r="B9" s="13" t="s">
        <v>47</v>
      </c>
      <c r="C9" s="14" t="s">
        <v>140</v>
      </c>
      <c r="D9" s="13" t="s">
        <v>141</v>
      </c>
      <c r="E9" s="13" t="s">
        <v>36</v>
      </c>
      <c r="F9" s="13" t="s">
        <v>142</v>
      </c>
      <c r="G9" s="13" t="s">
        <v>98</v>
      </c>
      <c r="H9" s="13"/>
      <c r="I9" s="14" t="s">
        <v>143</v>
      </c>
      <c r="J9" s="15"/>
      <c r="K9" s="14"/>
      <c r="L9" s="15"/>
      <c r="M9" s="13" t="str">
        <f aca="false">IF(L9="","",说明!$B$4-L9)</f>
        <v/>
      </c>
      <c r="N9" s="14"/>
      <c r="O9" s="15"/>
      <c r="P9" s="15"/>
      <c r="Q9" s="14"/>
      <c r="R9" s="13" t="str">
        <f aca="false">IF(AND(P9="",O9=""),"",IF(OR(N(P9)&gt;=说明!$B$5,N(O9)&gt;=说明!$B$6),"大型",IF(OR(N(P9)&gt;=说明!$B$7,N(O9)&gt;=说明!$B$8),"中型","小型")))</f>
        <v/>
      </c>
      <c r="S9" s="14" t="s">
        <v>144</v>
      </c>
      <c r="T9" s="13"/>
      <c r="U9" s="15"/>
      <c r="V9" s="15"/>
      <c r="W9" s="13"/>
      <c r="X9" s="14" t="s">
        <v>145</v>
      </c>
      <c r="Y9" s="14"/>
      <c r="Z9" s="16" t="s">
        <v>146</v>
      </c>
      <c r="AA9" s="13" t="s">
        <v>109</v>
      </c>
      <c r="AB9" s="14" t="s">
        <v>147</v>
      </c>
    </row>
    <row r="10" customFormat="false" ht="48" hidden="false" customHeight="true" outlineLevel="0" collapsed="false">
      <c r="A10" s="13" t="n">
        <v>9</v>
      </c>
      <c r="B10" s="13" t="s">
        <v>47</v>
      </c>
      <c r="C10" s="14" t="s">
        <v>148</v>
      </c>
      <c r="D10" s="13" t="s">
        <v>148</v>
      </c>
      <c r="E10" s="13" t="s">
        <v>36</v>
      </c>
      <c r="F10" s="13" t="s">
        <v>131</v>
      </c>
      <c r="G10" s="13" t="s">
        <v>134</v>
      </c>
      <c r="H10" s="13"/>
      <c r="I10" s="14" t="s">
        <v>149</v>
      </c>
      <c r="J10" s="13" t="s">
        <v>150</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47</v>
      </c>
      <c r="C11" s="14" t="s">
        <v>151</v>
      </c>
      <c r="D11" s="13" t="s">
        <v>152</v>
      </c>
      <c r="E11" s="13" t="s">
        <v>38</v>
      </c>
      <c r="F11" s="13" t="s">
        <v>131</v>
      </c>
      <c r="G11" s="13" t="s">
        <v>134</v>
      </c>
      <c r="H11" s="13"/>
      <c r="I11" s="14" t="s">
        <v>153</v>
      </c>
      <c r="J11" s="13" t="s">
        <v>154</v>
      </c>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t="s">
        <v>155</v>
      </c>
    </row>
    <row r="12" customFormat="false" ht="48" hidden="false" customHeight="true" outlineLevel="0" collapsed="false">
      <c r="A12" s="13" t="n">
        <v>11</v>
      </c>
      <c r="B12" s="13" t="s">
        <v>48</v>
      </c>
      <c r="C12" s="14" t="s">
        <v>156</v>
      </c>
      <c r="D12" s="13" t="s">
        <v>157</v>
      </c>
      <c r="E12" s="13" t="s">
        <v>37</v>
      </c>
      <c r="F12" s="13" t="s">
        <v>97</v>
      </c>
      <c r="G12" s="13" t="s">
        <v>98</v>
      </c>
      <c r="H12" s="13"/>
      <c r="I12" s="14" t="s">
        <v>158</v>
      </c>
      <c r="J12" s="13" t="s">
        <v>159</v>
      </c>
      <c r="K12" s="14"/>
      <c r="L12" s="13" t="n">
        <v>2013</v>
      </c>
      <c r="M12" s="13" t="n">
        <f aca="false">IF(L12="","",说明!$B$4-L12)</f>
        <v>13</v>
      </c>
      <c r="N12" s="14" t="s">
        <v>160</v>
      </c>
      <c r="O12" s="15"/>
      <c r="P12" s="13" t="n">
        <v>5000</v>
      </c>
      <c r="Q12" s="14" t="s">
        <v>161</v>
      </c>
      <c r="R12" s="13" t="str">
        <f aca="false">IF(AND(P12="",O12=""),"",IF(OR(N(P12)&gt;=说明!$B$5,N(O12)&gt;=说明!$B$6),"大型",IF(OR(N(P12)&gt;=说明!$B$7,N(O12)&gt;=说明!$B$8),"中型","小型")))</f>
        <v>大型</v>
      </c>
      <c r="S12" s="14" t="s">
        <v>162</v>
      </c>
      <c r="T12" s="13" t="s">
        <v>163</v>
      </c>
      <c r="U12" s="15"/>
      <c r="V12" s="15"/>
      <c r="W12" s="13"/>
      <c r="X12" s="14" t="s">
        <v>164</v>
      </c>
      <c r="Y12" s="14" t="s">
        <v>165</v>
      </c>
      <c r="Z12" s="16" t="s">
        <v>166</v>
      </c>
      <c r="AA12" s="13" t="s">
        <v>109</v>
      </c>
      <c r="AB12" s="14" t="s">
        <v>167</v>
      </c>
    </row>
    <row r="13" customFormat="false" ht="48" hidden="false" customHeight="true" outlineLevel="0" collapsed="false">
      <c r="A13" s="13" t="n">
        <v>12</v>
      </c>
      <c r="B13" s="13" t="s">
        <v>48</v>
      </c>
      <c r="C13" s="14" t="s">
        <v>168</v>
      </c>
      <c r="D13" s="13" t="s">
        <v>169</v>
      </c>
      <c r="E13" s="13" t="s">
        <v>41</v>
      </c>
      <c r="F13" s="13" t="s">
        <v>97</v>
      </c>
      <c r="G13" s="13" t="s">
        <v>170</v>
      </c>
      <c r="H13" s="13"/>
      <c r="I13" s="14" t="s">
        <v>171</v>
      </c>
      <c r="J13" s="13" t="s">
        <v>172</v>
      </c>
      <c r="K13" s="14" t="s">
        <v>173</v>
      </c>
      <c r="L13" s="15"/>
      <c r="M13" s="13" t="str">
        <f aca="false">IF(L13="","",说明!$B$4-L13)</f>
        <v/>
      </c>
      <c r="N13" s="14"/>
      <c r="O13" s="15"/>
      <c r="P13" s="15"/>
      <c r="Q13" s="14" t="s">
        <v>174</v>
      </c>
      <c r="R13" s="13" t="str">
        <f aca="false">IF(AND(P13="",O13=""),"",IF(OR(N(P13)&gt;=说明!$B$5,N(O13)&gt;=说明!$B$6),"大型",IF(OR(N(P13)&gt;=说明!$B$7,N(O13)&gt;=说明!$B$8),"中型","小型")))</f>
        <v/>
      </c>
      <c r="S13" s="14" t="s">
        <v>175</v>
      </c>
      <c r="T13" s="13"/>
      <c r="U13" s="15"/>
      <c r="V13" s="15"/>
      <c r="W13" s="13"/>
      <c r="X13" s="14"/>
      <c r="Y13" s="14" t="s">
        <v>176</v>
      </c>
      <c r="Z13" s="16" t="s">
        <v>177</v>
      </c>
      <c r="AA13" s="13" t="s">
        <v>109</v>
      </c>
      <c r="AB13" s="14" t="s">
        <v>178</v>
      </c>
    </row>
    <row r="14" customFormat="false" ht="48" hidden="false" customHeight="true" outlineLevel="0" collapsed="false">
      <c r="A14" s="13" t="n">
        <v>13</v>
      </c>
      <c r="B14" s="13" t="s">
        <v>48</v>
      </c>
      <c r="C14" s="14" t="s">
        <v>179</v>
      </c>
      <c r="D14" s="13" t="s">
        <v>180</v>
      </c>
      <c r="E14" s="13" t="s">
        <v>36</v>
      </c>
      <c r="F14" s="13" t="s">
        <v>97</v>
      </c>
      <c r="G14" s="13" t="s">
        <v>98</v>
      </c>
      <c r="H14" s="13"/>
      <c r="I14" s="14" t="s">
        <v>181</v>
      </c>
      <c r="J14" s="15"/>
      <c r="K14" s="14"/>
      <c r="L14" s="15"/>
      <c r="M14" s="13" t="str">
        <f aca="false">IF(L14="","",说明!$B$4-L14)</f>
        <v/>
      </c>
      <c r="N14" s="14"/>
      <c r="O14" s="15"/>
      <c r="P14" s="15"/>
      <c r="Q14" s="14" t="s">
        <v>182</v>
      </c>
      <c r="R14" s="13" t="str">
        <f aca="false">IF(AND(P14="",O14=""),"",IF(OR(N(P14)&gt;=说明!$B$5,N(O14)&gt;=说明!$B$6),"大型",IF(OR(N(P14)&gt;=说明!$B$7,N(O14)&gt;=说明!$B$8),"中型","小型")))</f>
        <v/>
      </c>
      <c r="S14" s="14"/>
      <c r="T14" s="13"/>
      <c r="U14" s="15"/>
      <c r="V14" s="15"/>
      <c r="W14" s="13"/>
      <c r="X14" s="14"/>
      <c r="Y14" s="14"/>
      <c r="Z14" s="16" t="s">
        <v>183</v>
      </c>
      <c r="AA14" s="13" t="s">
        <v>118</v>
      </c>
      <c r="AB14" s="14"/>
    </row>
    <row r="15" customFormat="false" ht="48" hidden="false" customHeight="true" outlineLevel="0" collapsed="false">
      <c r="A15" s="13" t="n">
        <v>14</v>
      </c>
      <c r="B15" s="13" t="s">
        <v>48</v>
      </c>
      <c r="C15" s="14" t="s">
        <v>184</v>
      </c>
      <c r="D15" s="13" t="s">
        <v>185</v>
      </c>
      <c r="E15" s="13" t="s">
        <v>36</v>
      </c>
      <c r="F15" s="13" t="s">
        <v>97</v>
      </c>
      <c r="G15" s="13" t="s">
        <v>186</v>
      </c>
      <c r="H15" s="13"/>
      <c r="I15" s="14" t="s">
        <v>187</v>
      </c>
      <c r="J15" s="15"/>
      <c r="K15" s="14"/>
      <c r="L15" s="15"/>
      <c r="M15" s="13" t="str">
        <f aca="false">IF(L15="","",说明!$B$4-L15)</f>
        <v/>
      </c>
      <c r="N15" s="14"/>
      <c r="O15" s="15"/>
      <c r="P15" s="15"/>
      <c r="Q15" s="14"/>
      <c r="R15" s="13" t="str">
        <f aca="false">IF(AND(P15="",O15=""),"",IF(OR(N(P15)&gt;=说明!$B$5,N(O15)&gt;=说明!$B$6),"大型",IF(OR(N(P15)&gt;=说明!$B$7,N(O15)&gt;=说明!$B$8),"中型","小型")))</f>
        <v/>
      </c>
      <c r="S15" s="14"/>
      <c r="T15" s="13" t="s">
        <v>188</v>
      </c>
      <c r="U15" s="15"/>
      <c r="V15" s="15"/>
      <c r="W15" s="13"/>
      <c r="X15" s="14"/>
      <c r="Y15" s="14"/>
      <c r="Z15" s="16" t="s">
        <v>189</v>
      </c>
      <c r="AA15" s="13" t="s">
        <v>118</v>
      </c>
      <c r="AB15" s="14" t="s">
        <v>190</v>
      </c>
    </row>
    <row r="16" customFormat="false" ht="48" hidden="false" customHeight="true" outlineLevel="0" collapsed="false">
      <c r="A16" s="13" t="n">
        <v>15</v>
      </c>
      <c r="B16" s="13" t="s">
        <v>48</v>
      </c>
      <c r="C16" s="14" t="s">
        <v>191</v>
      </c>
      <c r="D16" s="13" t="s">
        <v>192</v>
      </c>
      <c r="E16" s="13" t="s">
        <v>37</v>
      </c>
      <c r="F16" s="13" t="s">
        <v>127</v>
      </c>
      <c r="G16" s="13" t="s">
        <v>128</v>
      </c>
      <c r="H16" s="13"/>
      <c r="I16" s="14"/>
      <c r="J16" s="15"/>
      <c r="K16" s="14"/>
      <c r="L16" s="15"/>
      <c r="M16" s="13" t="str">
        <f aca="false">IF(L16="","",说明!$B$4-L16)</f>
        <v/>
      </c>
      <c r="N16" s="14"/>
      <c r="O16" s="15"/>
      <c r="P16" s="15"/>
      <c r="Q16" s="14"/>
      <c r="R16" s="13" t="str">
        <f aca="false">IF(AND(P16="",O16=""),"",IF(OR(N(P16)&gt;=说明!$B$5,N(O16)&gt;=说明!$B$6),"大型",IF(OR(N(P16)&gt;=说明!$B$7,N(O16)&gt;=说明!$B$8),"中型","小型")))</f>
        <v/>
      </c>
      <c r="S16" s="14"/>
      <c r="T16" s="13"/>
      <c r="U16" s="15"/>
      <c r="V16" s="15"/>
      <c r="W16" s="13"/>
      <c r="X16" s="14"/>
      <c r="Y16" s="14"/>
      <c r="Z16" s="16" t="s">
        <v>193</v>
      </c>
      <c r="AA16" s="13" t="s">
        <v>118</v>
      </c>
      <c r="AB16" s="14"/>
    </row>
    <row r="17" customFormat="false" ht="48" hidden="false" customHeight="true" outlineLevel="0" collapsed="false">
      <c r="A17" s="13" t="n">
        <v>16</v>
      </c>
      <c r="B17" s="13" t="s">
        <v>48</v>
      </c>
      <c r="C17" s="14" t="s">
        <v>194</v>
      </c>
      <c r="D17" s="13" t="s">
        <v>194</v>
      </c>
      <c r="E17" s="13" t="s">
        <v>36</v>
      </c>
      <c r="F17" s="13" t="s">
        <v>127</v>
      </c>
      <c r="G17" s="13" t="s">
        <v>128</v>
      </c>
      <c r="H17" s="13"/>
      <c r="I17" s="14"/>
      <c r="J17" s="15"/>
      <c r="K17" s="14"/>
      <c r="L17" s="15"/>
      <c r="M17" s="13" t="str">
        <f aca="false">IF(L17="","",说明!$B$4-L17)</f>
        <v/>
      </c>
      <c r="N17" s="14"/>
      <c r="O17" s="15"/>
      <c r="P17" s="15"/>
      <c r="Q17" s="14"/>
      <c r="R17" s="13" t="str">
        <f aca="false">IF(AND(P17="",O17=""),"",IF(OR(N(P17)&gt;=说明!$B$5,N(O17)&gt;=说明!$B$6),"大型",IF(OR(N(P17)&gt;=说明!$B$7,N(O17)&gt;=说明!$B$8),"中型","小型")))</f>
        <v/>
      </c>
      <c r="S17" s="14"/>
      <c r="T17" s="13"/>
      <c r="U17" s="15"/>
      <c r="V17" s="15"/>
      <c r="W17" s="13"/>
      <c r="X17" s="14"/>
      <c r="Y17" s="14"/>
      <c r="Z17" s="16" t="s">
        <v>195</v>
      </c>
      <c r="AA17" s="13" t="s">
        <v>118</v>
      </c>
      <c r="AB17" s="14"/>
    </row>
    <row r="18" customFormat="false" ht="48" hidden="false" customHeight="true" outlineLevel="0" collapsed="false">
      <c r="A18" s="13" t="n">
        <v>17</v>
      </c>
      <c r="B18" s="13" t="s">
        <v>48</v>
      </c>
      <c r="C18" s="14" t="s">
        <v>196</v>
      </c>
      <c r="D18" s="13" t="s">
        <v>196</v>
      </c>
      <c r="E18" s="13" t="s">
        <v>37</v>
      </c>
      <c r="F18" s="13" t="s">
        <v>131</v>
      </c>
      <c r="G18" s="13" t="s">
        <v>134</v>
      </c>
      <c r="H18" s="13"/>
      <c r="I18" s="14" t="s">
        <v>197</v>
      </c>
      <c r="J18" s="15"/>
      <c r="K18" s="14"/>
      <c r="L18" s="15"/>
      <c r="M18" s="13" t="str">
        <f aca="false">IF(L18="","",说明!$B$4-L18)</f>
        <v/>
      </c>
      <c r="N18" s="14"/>
      <c r="O18" s="15"/>
      <c r="P18" s="15"/>
      <c r="Q18" s="14"/>
      <c r="R18" s="13" t="str">
        <f aca="false">IF(AND(P18="",O18=""),"",IF(OR(N(P18)&gt;=说明!$B$5,N(O18)&gt;=说明!$B$6),"大型",IF(OR(N(P18)&gt;=说明!$B$7,N(O18)&gt;=说明!$B$8),"中型","小型")))</f>
        <v/>
      </c>
      <c r="S18" s="14"/>
      <c r="T18" s="13"/>
      <c r="U18" s="15"/>
      <c r="V18" s="15"/>
      <c r="W18" s="13"/>
      <c r="X18" s="14"/>
      <c r="Y18" s="14"/>
      <c r="Z18" s="16" t="s">
        <v>137</v>
      </c>
      <c r="AA18" s="13" t="s">
        <v>109</v>
      </c>
      <c r="AB18" s="14"/>
    </row>
    <row r="19" customFormat="false" ht="48" hidden="false" customHeight="true" outlineLevel="0" collapsed="false">
      <c r="A19" s="13" t="n">
        <v>18</v>
      </c>
      <c r="B19" s="13" t="s">
        <v>48</v>
      </c>
      <c r="C19" s="14" t="s">
        <v>198</v>
      </c>
      <c r="D19" s="13" t="s">
        <v>198</v>
      </c>
      <c r="E19" s="13" t="s">
        <v>37</v>
      </c>
      <c r="F19" s="13" t="s">
        <v>131</v>
      </c>
      <c r="G19" s="13" t="s">
        <v>134</v>
      </c>
      <c r="H19" s="13"/>
      <c r="I19" s="14" t="s">
        <v>199</v>
      </c>
      <c r="J19" s="15"/>
      <c r="K19" s="14"/>
      <c r="L19" s="15"/>
      <c r="M19" s="13" t="str">
        <f aca="false">IF(L19="","",说明!$B$4-L19)</f>
        <v/>
      </c>
      <c r="N19" s="14"/>
      <c r="O19" s="15"/>
      <c r="P19" s="15"/>
      <c r="Q19" s="14"/>
      <c r="R19" s="13" t="str">
        <f aca="false">IF(AND(P19="",O19=""),"",IF(OR(N(P19)&gt;=说明!$B$5,N(O19)&gt;=说明!$B$6),"大型",IF(OR(N(P19)&gt;=说明!$B$7,N(O19)&gt;=说明!$B$8),"中型","小型")))</f>
        <v/>
      </c>
      <c r="S19" s="14"/>
      <c r="T19" s="13"/>
      <c r="U19" s="15"/>
      <c r="V19" s="15"/>
      <c r="W19" s="13"/>
      <c r="X19" s="14"/>
      <c r="Y19" s="14"/>
      <c r="Z19" s="16" t="s">
        <v>137</v>
      </c>
      <c r="AA19" s="13" t="s">
        <v>109</v>
      </c>
      <c r="AB19" s="14"/>
    </row>
    <row r="20" customFormat="false" ht="48" hidden="false" customHeight="true" outlineLevel="0" collapsed="false">
      <c r="A20" s="13" t="n">
        <v>19</v>
      </c>
      <c r="B20" s="13" t="s">
        <v>48</v>
      </c>
      <c r="C20" s="14" t="s">
        <v>200</v>
      </c>
      <c r="D20" s="13" t="s">
        <v>200</v>
      </c>
      <c r="E20" s="13" t="s">
        <v>41</v>
      </c>
      <c r="F20" s="13" t="s">
        <v>131</v>
      </c>
      <c r="G20" s="13" t="s">
        <v>134</v>
      </c>
      <c r="H20" s="13"/>
      <c r="I20" s="14" t="s">
        <v>201</v>
      </c>
      <c r="J20" s="13" t="s">
        <v>202</v>
      </c>
      <c r="K20" s="14"/>
      <c r="L20" s="15"/>
      <c r="M20" s="13" t="str">
        <f aca="false">IF(L20="","",说明!$B$4-L20)</f>
        <v/>
      </c>
      <c r="N20" s="14"/>
      <c r="O20" s="15"/>
      <c r="P20" s="15"/>
      <c r="Q20" s="14"/>
      <c r="R20" s="13" t="str">
        <f aca="false">IF(AND(P20="",O20=""),"",IF(OR(N(P20)&gt;=说明!$B$5,N(O20)&gt;=说明!$B$6),"大型",IF(OR(N(P20)&gt;=说明!$B$7,N(O20)&gt;=说明!$B$8),"中型","小型")))</f>
        <v/>
      </c>
      <c r="S20" s="14" t="s">
        <v>203</v>
      </c>
      <c r="T20" s="13"/>
      <c r="U20" s="15"/>
      <c r="V20" s="15"/>
      <c r="W20" s="13"/>
      <c r="X20" s="14"/>
      <c r="Y20" s="14"/>
      <c r="Z20" s="16" t="s">
        <v>204</v>
      </c>
      <c r="AA20" s="13" t="s">
        <v>109</v>
      </c>
      <c r="AB20" s="14"/>
    </row>
    <row r="21" customFormat="false" ht="48" hidden="false" customHeight="true" outlineLevel="0" collapsed="false">
      <c r="A21" s="13" t="n">
        <v>20</v>
      </c>
      <c r="B21" s="13" t="s">
        <v>49</v>
      </c>
      <c r="C21" s="14" t="s">
        <v>205</v>
      </c>
      <c r="D21" s="13" t="s">
        <v>206</v>
      </c>
      <c r="E21" s="13" t="s">
        <v>36</v>
      </c>
      <c r="F21" s="13" t="s">
        <v>97</v>
      </c>
      <c r="G21" s="13" t="s">
        <v>98</v>
      </c>
      <c r="H21" s="13"/>
      <c r="I21" s="14" t="s">
        <v>207</v>
      </c>
      <c r="J21" s="15"/>
      <c r="K21" s="14"/>
      <c r="L21" s="15"/>
      <c r="M21" s="13" t="str">
        <f aca="false">IF(L21="","",说明!$B$4-L21)</f>
        <v/>
      </c>
      <c r="N21" s="14"/>
      <c r="O21" s="15"/>
      <c r="P21" s="15"/>
      <c r="Q21" s="14"/>
      <c r="R21" s="13" t="str">
        <f aca="false">IF(AND(P21="",O21=""),"",IF(OR(N(P21)&gt;=说明!$B$5,N(O21)&gt;=说明!$B$6),"大型",IF(OR(N(P21)&gt;=说明!$B$7,N(O21)&gt;=说明!$B$8),"中型","小型")))</f>
        <v/>
      </c>
      <c r="S21" s="14" t="s">
        <v>208</v>
      </c>
      <c r="T21" s="13"/>
      <c r="U21" s="15"/>
      <c r="V21" s="15"/>
      <c r="W21" s="13"/>
      <c r="X21" s="14"/>
      <c r="Y21" s="14"/>
      <c r="Z21" s="16" t="s">
        <v>209</v>
      </c>
      <c r="AA21" s="13" t="s">
        <v>109</v>
      </c>
      <c r="AB21" s="14" t="s">
        <v>210</v>
      </c>
    </row>
    <row r="22" customFormat="false" ht="48" hidden="false" customHeight="true" outlineLevel="0" collapsed="false">
      <c r="A22" s="13" t="n">
        <v>21</v>
      </c>
      <c r="B22" s="13" t="s">
        <v>49</v>
      </c>
      <c r="C22" s="14" t="s">
        <v>211</v>
      </c>
      <c r="D22" s="13" t="s">
        <v>212</v>
      </c>
      <c r="E22" s="13" t="s">
        <v>36</v>
      </c>
      <c r="F22" s="13" t="s">
        <v>97</v>
      </c>
      <c r="G22" s="13" t="s">
        <v>98</v>
      </c>
      <c r="H22" s="13"/>
      <c r="I22" s="14" t="s">
        <v>213</v>
      </c>
      <c r="J22" s="15"/>
      <c r="K22" s="14"/>
      <c r="L22" s="15"/>
      <c r="M22" s="13" t="str">
        <f aca="false">IF(L22="","",说明!$B$4-L22)</f>
        <v/>
      </c>
      <c r="N22" s="14"/>
      <c r="O22" s="15"/>
      <c r="P22" s="15"/>
      <c r="Q22" s="14"/>
      <c r="R22" s="13" t="str">
        <f aca="false">IF(AND(P22="",O22=""),"",IF(OR(N(P22)&gt;=说明!$B$5,N(O22)&gt;=说明!$B$6),"大型",IF(OR(N(P22)&gt;=说明!$B$7,N(O22)&gt;=说明!$B$8),"中型","小型")))</f>
        <v/>
      </c>
      <c r="S22" s="14" t="s">
        <v>208</v>
      </c>
      <c r="T22" s="13"/>
      <c r="U22" s="15"/>
      <c r="V22" s="15"/>
      <c r="W22" s="13"/>
      <c r="X22" s="14"/>
      <c r="Y22" s="14"/>
      <c r="Z22" s="16" t="s">
        <v>209</v>
      </c>
      <c r="AA22" s="13" t="s">
        <v>109</v>
      </c>
      <c r="AB22" s="14" t="s">
        <v>210</v>
      </c>
    </row>
    <row r="23" customFormat="false" ht="48" hidden="false" customHeight="true" outlineLevel="0" collapsed="false">
      <c r="A23" s="13" t="n">
        <v>22</v>
      </c>
      <c r="B23" s="13" t="s">
        <v>49</v>
      </c>
      <c r="C23" s="14" t="s">
        <v>214</v>
      </c>
      <c r="D23" s="13" t="s">
        <v>180</v>
      </c>
      <c r="E23" s="13" t="s">
        <v>36</v>
      </c>
      <c r="F23" s="13" t="s">
        <v>97</v>
      </c>
      <c r="G23" s="13" t="s">
        <v>98</v>
      </c>
      <c r="H23" s="13"/>
      <c r="I23" s="14"/>
      <c r="J23" s="15"/>
      <c r="K23" s="14"/>
      <c r="L23" s="15"/>
      <c r="M23" s="13" t="str">
        <f aca="false">IF(L23="","",说明!$B$4-L23)</f>
        <v/>
      </c>
      <c r="N23" s="14"/>
      <c r="O23" s="15"/>
      <c r="P23" s="15"/>
      <c r="Q23" s="14"/>
      <c r="R23" s="13" t="str">
        <f aca="false">IF(AND(P23="",O23=""),"",IF(OR(N(P23)&gt;=说明!$B$5,N(O23)&gt;=说明!$B$6),"大型",IF(OR(N(P23)&gt;=说明!$B$7,N(O23)&gt;=说明!$B$8),"中型","小型")))</f>
        <v/>
      </c>
      <c r="S23" s="14"/>
      <c r="T23" s="13"/>
      <c r="U23" s="15"/>
      <c r="V23" s="15"/>
      <c r="W23" s="13"/>
      <c r="X23" s="14"/>
      <c r="Y23" s="14"/>
      <c r="Z23" s="16" t="s">
        <v>215</v>
      </c>
      <c r="AA23" s="13" t="s">
        <v>118</v>
      </c>
      <c r="AB23" s="14"/>
    </row>
    <row r="24" customFormat="false" ht="48" hidden="false" customHeight="true" outlineLevel="0" collapsed="false">
      <c r="A24" s="13" t="n">
        <v>23</v>
      </c>
      <c r="B24" s="13" t="s">
        <v>49</v>
      </c>
      <c r="C24" s="14" t="s">
        <v>216</v>
      </c>
      <c r="D24" s="13"/>
      <c r="E24" s="13" t="s">
        <v>40</v>
      </c>
      <c r="F24" s="13" t="s">
        <v>217</v>
      </c>
      <c r="G24" s="13" t="s">
        <v>98</v>
      </c>
      <c r="H24" s="13"/>
      <c r="I24" s="14"/>
      <c r="J24" s="15"/>
      <c r="K24" s="14"/>
      <c r="L24" s="15"/>
      <c r="M24" s="13" t="str">
        <f aca="false">IF(L24="","",说明!$B$4-L24)</f>
        <v/>
      </c>
      <c r="N24" s="14"/>
      <c r="O24" s="15"/>
      <c r="P24" s="15"/>
      <c r="Q24" s="14"/>
      <c r="R24" s="13" t="str">
        <f aca="false">IF(AND(P24="",O24=""),"",IF(OR(N(P24)&gt;=说明!$B$5,N(O24)&gt;=说明!$B$6),"大型",IF(OR(N(P24)&gt;=说明!$B$7,N(O24)&gt;=说明!$B$8),"中型","小型")))</f>
        <v/>
      </c>
      <c r="S24" s="14" t="s">
        <v>218</v>
      </c>
      <c r="T24" s="13"/>
      <c r="U24" s="15"/>
      <c r="V24" s="15"/>
      <c r="W24" s="13"/>
      <c r="X24" s="14"/>
      <c r="Y24" s="14"/>
      <c r="Z24" s="16" t="s">
        <v>219</v>
      </c>
      <c r="AA24" s="13" t="s">
        <v>118</v>
      </c>
      <c r="AB24" s="14" t="s">
        <v>220</v>
      </c>
    </row>
    <row r="25" customFormat="false" ht="48" hidden="false" customHeight="true" outlineLevel="0" collapsed="false">
      <c r="A25" s="13" t="n">
        <v>24</v>
      </c>
      <c r="B25" s="13" t="s">
        <v>49</v>
      </c>
      <c r="C25" s="14" t="s">
        <v>221</v>
      </c>
      <c r="D25" s="13" t="s">
        <v>221</v>
      </c>
      <c r="E25" s="13" t="s">
        <v>37</v>
      </c>
      <c r="F25" s="13" t="s">
        <v>131</v>
      </c>
      <c r="G25" s="13" t="s">
        <v>134</v>
      </c>
      <c r="H25" s="13"/>
      <c r="I25" s="14" t="s">
        <v>222</v>
      </c>
      <c r="J25" s="15"/>
      <c r="K25" s="14"/>
      <c r="L25" s="15"/>
      <c r="M25" s="13" t="str">
        <f aca="false">IF(L25="","",说明!$B$4-L25)</f>
        <v/>
      </c>
      <c r="N25" s="14"/>
      <c r="O25" s="15"/>
      <c r="P25" s="15"/>
      <c r="Q25" s="14"/>
      <c r="R25" s="13" t="str">
        <f aca="false">IF(AND(P25="",O25=""),"",IF(OR(N(P25)&gt;=说明!$B$5,N(O25)&gt;=说明!$B$6),"大型",IF(OR(N(P25)&gt;=说明!$B$7,N(O25)&gt;=说明!$B$8),"中型","小型")))</f>
        <v/>
      </c>
      <c r="S25" s="14"/>
      <c r="T25" s="13"/>
      <c r="U25" s="15"/>
      <c r="V25" s="15"/>
      <c r="W25" s="13"/>
      <c r="X25" s="14"/>
      <c r="Y25" s="14"/>
      <c r="Z25" s="16" t="s">
        <v>137</v>
      </c>
      <c r="AA25" s="13" t="s">
        <v>109</v>
      </c>
      <c r="AB25" s="14"/>
    </row>
    <row r="26" customFormat="false" ht="48" hidden="false" customHeight="true" outlineLevel="0" collapsed="false">
      <c r="A26" s="13" t="n">
        <v>25</v>
      </c>
      <c r="B26" s="13" t="s">
        <v>49</v>
      </c>
      <c r="C26" s="14" t="s">
        <v>223</v>
      </c>
      <c r="D26" s="13" t="s">
        <v>224</v>
      </c>
      <c r="E26" s="13" t="s">
        <v>37</v>
      </c>
      <c r="F26" s="13" t="s">
        <v>131</v>
      </c>
      <c r="G26" s="13" t="s">
        <v>128</v>
      </c>
      <c r="H26" s="13"/>
      <c r="I26" s="14"/>
      <c r="J26" s="15"/>
      <c r="K26" s="14"/>
      <c r="L26" s="15"/>
      <c r="M26" s="13" t="str">
        <f aca="false">IF(L26="","",说明!$B$4-L26)</f>
        <v/>
      </c>
      <c r="N26" s="14"/>
      <c r="O26" s="15"/>
      <c r="P26" s="15"/>
      <c r="Q26" s="14"/>
      <c r="R26" s="13" t="str">
        <f aca="false">IF(AND(P26="",O26=""),"",IF(OR(N(P26)&gt;=说明!$B$5,N(O26)&gt;=说明!$B$6),"大型",IF(OR(N(P26)&gt;=说明!$B$7,N(O26)&gt;=说明!$B$8),"中型","小型")))</f>
        <v/>
      </c>
      <c r="S26" s="14"/>
      <c r="T26" s="13"/>
      <c r="U26" s="15"/>
      <c r="V26" s="15"/>
      <c r="W26" s="13"/>
      <c r="X26" s="14"/>
      <c r="Y26" s="14"/>
      <c r="Z26" s="16" t="s">
        <v>225</v>
      </c>
      <c r="AA26" s="13" t="s">
        <v>118</v>
      </c>
      <c r="AB26" s="14"/>
    </row>
    <row r="27" customFormat="false" ht="48" hidden="false" customHeight="true" outlineLevel="0" collapsed="false">
      <c r="A27" s="13" t="n">
        <v>26</v>
      </c>
      <c r="B27" s="13" t="s">
        <v>50</v>
      </c>
      <c r="C27" s="14" t="s">
        <v>226</v>
      </c>
      <c r="D27" s="13" t="s">
        <v>227</v>
      </c>
      <c r="E27" s="13" t="s">
        <v>36</v>
      </c>
      <c r="F27" s="13" t="s">
        <v>97</v>
      </c>
      <c r="G27" s="13" t="s">
        <v>98</v>
      </c>
      <c r="H27" s="13"/>
      <c r="I27" s="14"/>
      <c r="J27" s="15"/>
      <c r="K27" s="14"/>
      <c r="L27" s="13" t="n">
        <v>2016</v>
      </c>
      <c r="M27" s="13" t="n">
        <f aca="false">IF(L27="","",说明!$B$4-L27)</f>
        <v>10</v>
      </c>
      <c r="N27" s="14" t="s">
        <v>228</v>
      </c>
      <c r="O27" s="15"/>
      <c r="P27" s="15"/>
      <c r="Q27" s="14"/>
      <c r="R27" s="13" t="str">
        <f aca="false">IF(AND(P27="",O27=""),"",IF(OR(N(P27)&gt;=说明!$B$5,N(O27)&gt;=说明!$B$6),"大型",IF(OR(N(P27)&gt;=说明!$B$7,N(O27)&gt;=说明!$B$8),"中型","小型")))</f>
        <v/>
      </c>
      <c r="S27" s="14" t="s">
        <v>229</v>
      </c>
      <c r="T27" s="13" t="s">
        <v>230</v>
      </c>
      <c r="U27" s="15"/>
      <c r="V27" s="15"/>
      <c r="W27" s="13"/>
      <c r="X27" s="14"/>
      <c r="Y27" s="14" t="s">
        <v>231</v>
      </c>
      <c r="Z27" s="16" t="s">
        <v>232</v>
      </c>
      <c r="AA27" s="13" t="s">
        <v>109</v>
      </c>
      <c r="AB27" s="14"/>
    </row>
    <row r="28" customFormat="false" ht="48" hidden="false" customHeight="true" outlineLevel="0" collapsed="false">
      <c r="A28" s="13" t="n">
        <v>27</v>
      </c>
      <c r="B28" s="13" t="s">
        <v>50</v>
      </c>
      <c r="C28" s="14" t="s">
        <v>233</v>
      </c>
      <c r="D28" s="13" t="s">
        <v>180</v>
      </c>
      <c r="E28" s="13" t="s">
        <v>36</v>
      </c>
      <c r="F28" s="13" t="s">
        <v>97</v>
      </c>
      <c r="G28" s="13" t="s">
        <v>234</v>
      </c>
      <c r="H28" s="13"/>
      <c r="I28" s="14" t="s">
        <v>235</v>
      </c>
      <c r="J28" s="13" t="s">
        <v>236</v>
      </c>
      <c r="K28" s="14" t="s">
        <v>237</v>
      </c>
      <c r="L28" s="13" t="n">
        <v>2016</v>
      </c>
      <c r="M28" s="13" t="n">
        <f aca="false">IF(L28="","",说明!$B$4-L28)</f>
        <v>10</v>
      </c>
      <c r="N28" s="14" t="s">
        <v>238</v>
      </c>
      <c r="O28" s="15"/>
      <c r="P28" s="13" t="n">
        <v>550</v>
      </c>
      <c r="Q28" s="14" t="s">
        <v>239</v>
      </c>
      <c r="R28" s="13" t="str">
        <f aca="false">IF(AND(P28="",O28=""),"",IF(OR(N(P28)&gt;=说明!$B$5,N(O28)&gt;=说明!$B$6),"大型",IF(OR(N(P28)&gt;=说明!$B$7,N(O28)&gt;=说明!$B$8),"中型","小型")))</f>
        <v>大型</v>
      </c>
      <c r="S28" s="14" t="s">
        <v>240</v>
      </c>
      <c r="T28" s="13" t="s">
        <v>241</v>
      </c>
      <c r="U28" s="15"/>
      <c r="V28" s="15"/>
      <c r="W28" s="13"/>
      <c r="X28" s="14"/>
      <c r="Y28" s="14" t="s">
        <v>242</v>
      </c>
      <c r="Z28" s="16" t="s">
        <v>243</v>
      </c>
      <c r="AA28" s="13" t="s">
        <v>109</v>
      </c>
      <c r="AB28" s="14" t="s">
        <v>244</v>
      </c>
    </row>
    <row r="29" customFormat="false" ht="48" hidden="false" customHeight="true" outlineLevel="0" collapsed="false">
      <c r="A29" s="13" t="n">
        <v>28</v>
      </c>
      <c r="B29" s="13" t="s">
        <v>50</v>
      </c>
      <c r="C29" s="14" t="s">
        <v>245</v>
      </c>
      <c r="D29" s="13" t="s">
        <v>246</v>
      </c>
      <c r="E29" s="13" t="s">
        <v>36</v>
      </c>
      <c r="F29" s="13" t="s">
        <v>97</v>
      </c>
      <c r="G29" s="13" t="s">
        <v>247</v>
      </c>
      <c r="H29" s="13"/>
      <c r="I29" s="14" t="s">
        <v>248</v>
      </c>
      <c r="J29" s="15"/>
      <c r="K29" s="14"/>
      <c r="L29" s="15"/>
      <c r="M29" s="13" t="str">
        <f aca="false">IF(L29="","",说明!$B$4-L29)</f>
        <v/>
      </c>
      <c r="N29" s="14"/>
      <c r="O29" s="15"/>
      <c r="P29" s="15"/>
      <c r="Q29" s="14"/>
      <c r="R29" s="13" t="str">
        <f aca="false">IF(AND(P29="",O29=""),"",IF(OR(N(P29)&gt;=说明!$B$5,N(O29)&gt;=说明!$B$6),"大型",IF(OR(N(P29)&gt;=说明!$B$7,N(O29)&gt;=说明!$B$8),"中型","小型")))</f>
        <v/>
      </c>
      <c r="S29" s="14" t="s">
        <v>249</v>
      </c>
      <c r="T29" s="13"/>
      <c r="U29" s="15"/>
      <c r="V29" s="15"/>
      <c r="W29" s="13"/>
      <c r="X29" s="14"/>
      <c r="Y29" s="14"/>
      <c r="Z29" s="16" t="s">
        <v>250</v>
      </c>
      <c r="AA29" s="13" t="s">
        <v>109</v>
      </c>
      <c r="AB29" s="14" t="s">
        <v>251</v>
      </c>
    </row>
    <row r="30" customFormat="false" ht="48" hidden="false" customHeight="true" outlineLevel="0" collapsed="false">
      <c r="A30" s="13" t="n">
        <v>29</v>
      </c>
      <c r="B30" s="13" t="s">
        <v>50</v>
      </c>
      <c r="C30" s="14" t="s">
        <v>252</v>
      </c>
      <c r="D30" s="13" t="s">
        <v>252</v>
      </c>
      <c r="E30" s="13" t="s">
        <v>37</v>
      </c>
      <c r="F30" s="13" t="s">
        <v>127</v>
      </c>
      <c r="G30" s="13" t="s">
        <v>128</v>
      </c>
      <c r="H30" s="13"/>
      <c r="I30" s="14"/>
      <c r="J30" s="15"/>
      <c r="K30" s="14"/>
      <c r="L30" s="15"/>
      <c r="M30" s="13" t="str">
        <f aca="false">IF(L30="","",说明!$B$4-L30)</f>
        <v/>
      </c>
      <c r="N30" s="14"/>
      <c r="O30" s="15"/>
      <c r="P30" s="15"/>
      <c r="Q30" s="14"/>
      <c r="R30" s="13" t="str">
        <f aca="false">IF(AND(P30="",O30=""),"",IF(OR(N(P30)&gt;=说明!$B$5,N(O30)&gt;=说明!$B$6),"大型",IF(OR(N(P30)&gt;=说明!$B$7,N(O30)&gt;=说明!$B$8),"中型","小型")))</f>
        <v/>
      </c>
      <c r="S30" s="14"/>
      <c r="T30" s="13"/>
      <c r="U30" s="15"/>
      <c r="V30" s="15"/>
      <c r="W30" s="13"/>
      <c r="X30" s="14"/>
      <c r="Y30" s="14"/>
      <c r="Z30" s="16" t="s">
        <v>253</v>
      </c>
      <c r="AA30" s="13" t="s">
        <v>118</v>
      </c>
      <c r="AB30" s="14"/>
    </row>
    <row r="31" customFormat="false" ht="48" hidden="false" customHeight="true" outlineLevel="0" collapsed="false">
      <c r="A31" s="13" t="n">
        <v>30</v>
      </c>
      <c r="B31" s="13" t="s">
        <v>50</v>
      </c>
      <c r="C31" s="14" t="s">
        <v>254</v>
      </c>
      <c r="D31" s="13" t="s">
        <v>255</v>
      </c>
      <c r="E31" s="13" t="s">
        <v>36</v>
      </c>
      <c r="F31" s="13" t="s">
        <v>127</v>
      </c>
      <c r="G31" s="13" t="s">
        <v>128</v>
      </c>
      <c r="H31" s="13"/>
      <c r="I31" s="14"/>
      <c r="J31" s="15"/>
      <c r="K31" s="14"/>
      <c r="L31" s="15"/>
      <c r="M31" s="13" t="str">
        <f aca="false">IF(L31="","",说明!$B$4-L31)</f>
        <v/>
      </c>
      <c r="N31" s="14"/>
      <c r="O31" s="15"/>
      <c r="P31" s="15"/>
      <c r="Q31" s="14"/>
      <c r="R31" s="13" t="str">
        <f aca="false">IF(AND(P31="",O31=""),"",IF(OR(N(P31)&gt;=说明!$B$5,N(O31)&gt;=说明!$B$6),"大型",IF(OR(N(P31)&gt;=说明!$B$7,N(O31)&gt;=说明!$B$8),"中型","小型")))</f>
        <v/>
      </c>
      <c r="S31" s="14"/>
      <c r="T31" s="13"/>
      <c r="U31" s="15"/>
      <c r="V31" s="15"/>
      <c r="W31" s="13"/>
      <c r="X31" s="14"/>
      <c r="Y31" s="14"/>
      <c r="Z31" s="16" t="s">
        <v>256</v>
      </c>
      <c r="AA31" s="13" t="s">
        <v>118</v>
      </c>
      <c r="AB31" s="14"/>
    </row>
    <row r="32" customFormat="false" ht="48" hidden="false" customHeight="true" outlineLevel="0" collapsed="false">
      <c r="A32" s="13" t="n">
        <v>31</v>
      </c>
      <c r="B32" s="13" t="s">
        <v>50</v>
      </c>
      <c r="C32" s="14" t="s">
        <v>257</v>
      </c>
      <c r="D32" s="13" t="s">
        <v>257</v>
      </c>
      <c r="E32" s="13" t="s">
        <v>37</v>
      </c>
      <c r="F32" s="13" t="s">
        <v>131</v>
      </c>
      <c r="G32" s="13" t="s">
        <v>134</v>
      </c>
      <c r="H32" s="13"/>
      <c r="I32" s="14" t="s">
        <v>258</v>
      </c>
      <c r="J32" s="15"/>
      <c r="K32" s="14"/>
      <c r="L32" s="15"/>
      <c r="M32" s="13" t="str">
        <f aca="false">IF(L32="","",说明!$B$4-L32)</f>
        <v/>
      </c>
      <c r="N32" s="14"/>
      <c r="O32" s="15"/>
      <c r="P32" s="15"/>
      <c r="Q32" s="14"/>
      <c r="R32" s="13" t="str">
        <f aca="false">IF(AND(P32="",O32=""),"",IF(OR(N(P32)&gt;=说明!$B$5,N(O32)&gt;=说明!$B$6),"大型",IF(OR(N(P32)&gt;=说明!$B$7,N(O32)&gt;=说明!$B$8),"中型","小型")))</f>
        <v/>
      </c>
      <c r="S32" s="14"/>
      <c r="T32" s="13"/>
      <c r="U32" s="15"/>
      <c r="V32" s="15"/>
      <c r="W32" s="13"/>
      <c r="X32" s="14"/>
      <c r="Y32" s="14"/>
      <c r="Z32" s="16" t="s">
        <v>137</v>
      </c>
      <c r="AA32" s="13" t="s">
        <v>109</v>
      </c>
      <c r="AB32" s="14"/>
    </row>
    <row r="33" customFormat="false" ht="48" hidden="false" customHeight="true" outlineLevel="0" collapsed="false">
      <c r="A33" s="13" t="n">
        <v>32</v>
      </c>
      <c r="B33" s="13" t="s">
        <v>50</v>
      </c>
      <c r="C33" s="14" t="s">
        <v>259</v>
      </c>
      <c r="D33" s="13" t="s">
        <v>260</v>
      </c>
      <c r="E33" s="13" t="s">
        <v>37</v>
      </c>
      <c r="F33" s="13" t="s">
        <v>131</v>
      </c>
      <c r="G33" s="13" t="s">
        <v>128</v>
      </c>
      <c r="H33" s="13"/>
      <c r="I33" s="14"/>
      <c r="J33" s="15"/>
      <c r="K33" s="14"/>
      <c r="L33" s="15"/>
      <c r="M33" s="13" t="str">
        <f aca="false">IF(L33="","",说明!$B$4-L33)</f>
        <v/>
      </c>
      <c r="N33" s="14"/>
      <c r="O33" s="15"/>
      <c r="P33" s="15"/>
      <c r="Q33" s="14"/>
      <c r="R33" s="13" t="str">
        <f aca="false">IF(AND(P33="",O33=""),"",IF(OR(N(P33)&gt;=说明!$B$5,N(O33)&gt;=说明!$B$6),"大型",IF(OR(N(P33)&gt;=说明!$B$7,N(O33)&gt;=说明!$B$8),"中型","小型")))</f>
        <v/>
      </c>
      <c r="S33" s="14"/>
      <c r="T33" s="13"/>
      <c r="U33" s="15"/>
      <c r="V33" s="15"/>
      <c r="W33" s="13"/>
      <c r="X33" s="14"/>
      <c r="Y33" s="14"/>
      <c r="Z33" s="16" t="s">
        <v>261</v>
      </c>
      <c r="AA33" s="13" t="s">
        <v>118</v>
      </c>
      <c r="AB33" s="14"/>
    </row>
    <row r="34" customFormat="false" ht="48" hidden="false" customHeight="true" outlineLevel="0" collapsed="false">
      <c r="A34" s="13" t="n">
        <v>33</v>
      </c>
      <c r="B34" s="13" t="s">
        <v>50</v>
      </c>
      <c r="C34" s="14" t="s">
        <v>262</v>
      </c>
      <c r="D34" s="13" t="s">
        <v>260</v>
      </c>
      <c r="E34" s="13" t="s">
        <v>37</v>
      </c>
      <c r="F34" s="13" t="s">
        <v>131</v>
      </c>
      <c r="G34" s="13" t="s">
        <v>134</v>
      </c>
      <c r="H34" s="13"/>
      <c r="I34" s="14" t="s">
        <v>263</v>
      </c>
      <c r="J34" s="15"/>
      <c r="K34" s="14"/>
      <c r="L34" s="15"/>
      <c r="M34" s="13" t="str">
        <f aca="false">IF(L34="","",说明!$B$4-L34)</f>
        <v/>
      </c>
      <c r="N34" s="14"/>
      <c r="O34" s="15"/>
      <c r="P34" s="15"/>
      <c r="Q34" s="14"/>
      <c r="R34" s="13" t="str">
        <f aca="false">IF(AND(P34="",O34=""),"",IF(OR(N(P34)&gt;=说明!$B$5,N(O34)&gt;=说明!$B$6),"大型",IF(OR(N(P34)&gt;=说明!$B$7,N(O34)&gt;=说明!$B$8),"中型","小型")))</f>
        <v/>
      </c>
      <c r="S34" s="14"/>
      <c r="T34" s="13"/>
      <c r="U34" s="15"/>
      <c r="V34" s="15"/>
      <c r="W34" s="13"/>
      <c r="X34" s="14"/>
      <c r="Y34" s="14"/>
      <c r="Z34" s="16" t="s">
        <v>137</v>
      </c>
      <c r="AA34" s="13" t="s">
        <v>109</v>
      </c>
      <c r="AB34" s="14"/>
    </row>
    <row r="35" customFormat="false" ht="48" hidden="false" customHeight="true" outlineLevel="0" collapsed="false">
      <c r="A35" s="13" t="n">
        <v>34</v>
      </c>
      <c r="B35" s="13" t="s">
        <v>50</v>
      </c>
      <c r="C35" s="14" t="s">
        <v>264</v>
      </c>
      <c r="D35" s="13" t="s">
        <v>265</v>
      </c>
      <c r="E35" s="13" t="s">
        <v>37</v>
      </c>
      <c r="F35" s="13" t="s">
        <v>131</v>
      </c>
      <c r="G35" s="13" t="s">
        <v>134</v>
      </c>
      <c r="H35" s="13"/>
      <c r="I35" s="14" t="s">
        <v>266</v>
      </c>
      <c r="J35" s="13" t="s">
        <v>267</v>
      </c>
      <c r="K35" s="14"/>
      <c r="L35" s="15"/>
      <c r="M35" s="13" t="str">
        <f aca="false">IF(L35="","",说明!$B$4-L35)</f>
        <v/>
      </c>
      <c r="N35" s="14"/>
      <c r="O35" s="15"/>
      <c r="P35" s="15"/>
      <c r="Q35" s="14"/>
      <c r="R35" s="13" t="str">
        <f aca="false">IF(AND(P35="",O35=""),"",IF(OR(N(P35)&gt;=说明!$B$5,N(O35)&gt;=说明!$B$6),"大型",IF(OR(N(P35)&gt;=说明!$B$7,N(O35)&gt;=说明!$B$8),"中型","小型")))</f>
        <v/>
      </c>
      <c r="S35" s="14"/>
      <c r="T35" s="13"/>
      <c r="U35" s="15"/>
      <c r="V35" s="15"/>
      <c r="W35" s="13"/>
      <c r="X35" s="14"/>
      <c r="Y35" s="14"/>
      <c r="Z35" s="16" t="s">
        <v>137</v>
      </c>
      <c r="AA35" s="13" t="s">
        <v>109</v>
      </c>
      <c r="AB35" s="14"/>
    </row>
    <row r="36" customFormat="false" ht="48" hidden="false" customHeight="true" outlineLevel="0" collapsed="false">
      <c r="A36" s="13" t="n">
        <v>35</v>
      </c>
      <c r="B36" s="13" t="s">
        <v>50</v>
      </c>
      <c r="C36" s="14" t="s">
        <v>268</v>
      </c>
      <c r="D36" s="13" t="s">
        <v>269</v>
      </c>
      <c r="E36" s="13" t="s">
        <v>37</v>
      </c>
      <c r="F36" s="13" t="s">
        <v>131</v>
      </c>
      <c r="G36" s="13" t="s">
        <v>128</v>
      </c>
      <c r="H36" s="13"/>
      <c r="I36" s="14"/>
      <c r="J36" s="15"/>
      <c r="K36" s="14"/>
      <c r="L36" s="15"/>
      <c r="M36" s="13" t="str">
        <f aca="false">IF(L36="","",说明!$B$4-L36)</f>
        <v/>
      </c>
      <c r="N36" s="14"/>
      <c r="O36" s="15"/>
      <c r="P36" s="15"/>
      <c r="Q36" s="14"/>
      <c r="R36" s="13" t="str">
        <f aca="false">IF(AND(P36="",O36=""),"",IF(OR(N(P36)&gt;=说明!$B$5,N(O36)&gt;=说明!$B$6),"大型",IF(OR(N(P36)&gt;=说明!$B$7,N(O36)&gt;=说明!$B$8),"中型","小型")))</f>
        <v/>
      </c>
      <c r="S36" s="14"/>
      <c r="T36" s="13"/>
      <c r="U36" s="15"/>
      <c r="V36" s="15"/>
      <c r="W36" s="13"/>
      <c r="X36" s="14"/>
      <c r="Y36" s="14"/>
      <c r="Z36" s="16" t="s">
        <v>270</v>
      </c>
      <c r="AA36" s="13" t="s">
        <v>118</v>
      </c>
      <c r="AB36" s="14"/>
    </row>
    <row r="37" customFormat="false" ht="48" hidden="false" customHeight="true" outlineLevel="0" collapsed="false">
      <c r="A37" s="13" t="n">
        <v>36</v>
      </c>
      <c r="B37" s="13" t="s">
        <v>50</v>
      </c>
      <c r="C37" s="14" t="s">
        <v>271</v>
      </c>
      <c r="D37" s="13" t="s">
        <v>269</v>
      </c>
      <c r="E37" s="13" t="s">
        <v>37</v>
      </c>
      <c r="F37" s="13" t="s">
        <v>131</v>
      </c>
      <c r="G37" s="13" t="s">
        <v>134</v>
      </c>
      <c r="H37" s="13"/>
      <c r="I37" s="14" t="s">
        <v>272</v>
      </c>
      <c r="J37" s="13" t="s">
        <v>273</v>
      </c>
      <c r="K37" s="14"/>
      <c r="L37" s="15"/>
      <c r="M37" s="13" t="str">
        <f aca="false">IF(L37="","",说明!$B$4-L37)</f>
        <v/>
      </c>
      <c r="N37" s="14"/>
      <c r="O37" s="15"/>
      <c r="P37" s="15"/>
      <c r="Q37" s="14"/>
      <c r="R37" s="13" t="str">
        <f aca="false">IF(AND(P37="",O37=""),"",IF(OR(N(P37)&gt;=说明!$B$5,N(O37)&gt;=说明!$B$6),"大型",IF(OR(N(P37)&gt;=说明!$B$7,N(O37)&gt;=说明!$B$8),"中型","小型")))</f>
        <v/>
      </c>
      <c r="S37" s="14"/>
      <c r="T37" s="13"/>
      <c r="U37" s="15"/>
      <c r="V37" s="15"/>
      <c r="W37" s="13"/>
      <c r="X37" s="14"/>
      <c r="Y37" s="14"/>
      <c r="Z37" s="16" t="s">
        <v>137</v>
      </c>
      <c r="AA37" s="13" t="s">
        <v>109</v>
      </c>
      <c r="AB37" s="14"/>
    </row>
    <row r="38" customFormat="false" ht="48" hidden="false" customHeight="true" outlineLevel="0" collapsed="false">
      <c r="A38" s="13" t="n">
        <v>37</v>
      </c>
      <c r="B38" s="13" t="s">
        <v>50</v>
      </c>
      <c r="C38" s="14" t="s">
        <v>274</v>
      </c>
      <c r="D38" s="13" t="s">
        <v>275</v>
      </c>
      <c r="E38" s="13" t="s">
        <v>41</v>
      </c>
      <c r="F38" s="13" t="s">
        <v>142</v>
      </c>
      <c r="G38" s="13" t="s">
        <v>98</v>
      </c>
      <c r="H38" s="13"/>
      <c r="I38" s="14" t="s">
        <v>276</v>
      </c>
      <c r="J38" s="15"/>
      <c r="K38" s="14"/>
      <c r="L38" s="13" t="n">
        <v>2023</v>
      </c>
      <c r="M38" s="13" t="n">
        <f aca="false">IF(L38="","",说明!$B$4-L38)</f>
        <v>3</v>
      </c>
      <c r="N38" s="14" t="s">
        <v>277</v>
      </c>
      <c r="O38" s="15"/>
      <c r="P38" s="15"/>
      <c r="Q38" s="14"/>
      <c r="R38" s="13" t="str">
        <f aca="false">IF(AND(P38="",O38=""),"",IF(OR(N(P38)&gt;=说明!$B$5,N(O38)&gt;=说明!$B$6),"大型",IF(OR(N(P38)&gt;=说明!$B$7,N(O38)&gt;=说明!$B$8),"中型","小型")))</f>
        <v/>
      </c>
      <c r="S38" s="14" t="s">
        <v>278</v>
      </c>
      <c r="T38" s="13"/>
      <c r="U38" s="15"/>
      <c r="V38" s="15"/>
      <c r="W38" s="13"/>
      <c r="X38" s="14"/>
      <c r="Y38" s="14"/>
      <c r="Z38" s="16" t="s">
        <v>279</v>
      </c>
      <c r="AA38" s="13" t="s">
        <v>118</v>
      </c>
      <c r="AB38" s="14" t="s">
        <v>280</v>
      </c>
    </row>
    <row r="39" customFormat="false" ht="48" hidden="false" customHeight="true" outlineLevel="0" collapsed="false">
      <c r="A39" s="13" t="n">
        <v>38</v>
      </c>
      <c r="B39" s="13" t="s">
        <v>50</v>
      </c>
      <c r="C39" s="14" t="s">
        <v>281</v>
      </c>
      <c r="D39" s="13" t="s">
        <v>282</v>
      </c>
      <c r="E39" s="13" t="s">
        <v>36</v>
      </c>
      <c r="F39" s="13" t="s">
        <v>131</v>
      </c>
      <c r="G39" s="13" t="s">
        <v>98</v>
      </c>
      <c r="H39" s="13"/>
      <c r="I39" s="14"/>
      <c r="J39" s="15"/>
      <c r="K39" s="14"/>
      <c r="L39" s="15"/>
      <c r="M39" s="13" t="str">
        <f aca="false">IF(L39="","",说明!$B$4-L39)</f>
        <v/>
      </c>
      <c r="N39" s="14"/>
      <c r="O39" s="15"/>
      <c r="P39" s="15"/>
      <c r="Q39" s="14" t="s">
        <v>283</v>
      </c>
      <c r="R39" s="13" t="str">
        <f aca="false">IF(AND(P39="",O39=""),"",IF(OR(N(P39)&gt;=说明!$B$5,N(O39)&gt;=说明!$B$6),"大型",IF(OR(N(P39)&gt;=说明!$B$7,N(O39)&gt;=说明!$B$8),"中型","小型")))</f>
        <v/>
      </c>
      <c r="S39" s="14"/>
      <c r="T39" s="13"/>
      <c r="U39" s="15"/>
      <c r="V39" s="15"/>
      <c r="W39" s="13"/>
      <c r="X39" s="14"/>
      <c r="Y39" s="14"/>
      <c r="Z39" s="16" t="s">
        <v>284</v>
      </c>
      <c r="AA39" s="13" t="s">
        <v>118</v>
      </c>
      <c r="AB39" s="14"/>
    </row>
    <row r="40" customFormat="false" ht="48" hidden="false" customHeight="true" outlineLevel="0" collapsed="false">
      <c r="A40" s="13" t="n">
        <v>39</v>
      </c>
      <c r="B40" s="13" t="s">
        <v>50</v>
      </c>
      <c r="C40" s="14" t="s">
        <v>285</v>
      </c>
      <c r="D40" s="13" t="s">
        <v>285</v>
      </c>
      <c r="E40" s="13" t="s">
        <v>36</v>
      </c>
      <c r="F40" s="13" t="s">
        <v>131</v>
      </c>
      <c r="G40" s="13" t="s">
        <v>134</v>
      </c>
      <c r="H40" s="13"/>
      <c r="I40" s="14" t="s">
        <v>286</v>
      </c>
      <c r="J40" s="13" t="s">
        <v>287</v>
      </c>
      <c r="K40" s="14"/>
      <c r="L40" s="15"/>
      <c r="M40" s="13" t="str">
        <f aca="false">IF(L40="","",说明!$B$4-L40)</f>
        <v/>
      </c>
      <c r="N40" s="14"/>
      <c r="O40" s="15"/>
      <c r="P40" s="15"/>
      <c r="Q40" s="14"/>
      <c r="R40" s="13" t="str">
        <f aca="false">IF(AND(P40="",O40=""),"",IF(OR(N(P40)&gt;=说明!$B$5,N(O40)&gt;=说明!$B$6),"大型",IF(OR(N(P40)&gt;=说明!$B$7,N(O40)&gt;=说明!$B$8),"中型","小型")))</f>
        <v/>
      </c>
      <c r="S40" s="14"/>
      <c r="T40" s="13"/>
      <c r="U40" s="15"/>
      <c r="V40" s="15"/>
      <c r="W40" s="13"/>
      <c r="X40" s="14"/>
      <c r="Y40" s="14"/>
      <c r="Z40" s="16" t="s">
        <v>137</v>
      </c>
      <c r="AA40" s="13" t="s">
        <v>109</v>
      </c>
      <c r="AB40" s="14"/>
    </row>
    <row r="41" customFormat="false" ht="48" hidden="false" customHeight="true" outlineLevel="0" collapsed="false">
      <c r="A41" s="13" t="n">
        <v>40</v>
      </c>
      <c r="B41" s="13" t="s">
        <v>51</v>
      </c>
      <c r="C41" s="14" t="s">
        <v>288</v>
      </c>
      <c r="D41" s="13" t="s">
        <v>289</v>
      </c>
      <c r="E41" s="13" t="s">
        <v>36</v>
      </c>
      <c r="F41" s="13" t="s">
        <v>97</v>
      </c>
      <c r="G41" s="13" t="s">
        <v>98</v>
      </c>
      <c r="H41" s="13"/>
      <c r="I41" s="14" t="s">
        <v>290</v>
      </c>
      <c r="J41" s="13" t="s">
        <v>291</v>
      </c>
      <c r="K41" s="14"/>
      <c r="L41" s="15"/>
      <c r="M41" s="13" t="str">
        <f aca="false">IF(L41="","",说明!$B$4-L41)</f>
        <v/>
      </c>
      <c r="N41" s="14"/>
      <c r="O41" s="15"/>
      <c r="P41" s="15"/>
      <c r="Q41" s="14" t="s">
        <v>292</v>
      </c>
      <c r="R41" s="13" t="str">
        <f aca="false">IF(AND(P41="",O41=""),"",IF(OR(N(P41)&gt;=说明!$B$5,N(O41)&gt;=说明!$B$6),"大型",IF(OR(N(P41)&gt;=说明!$B$7,N(O41)&gt;=说明!$B$8),"中型","小型")))</f>
        <v/>
      </c>
      <c r="S41" s="14" t="s">
        <v>293</v>
      </c>
      <c r="T41" s="13" t="s">
        <v>294</v>
      </c>
      <c r="U41" s="15"/>
      <c r="V41" s="15"/>
      <c r="W41" s="13" t="s">
        <v>295</v>
      </c>
      <c r="X41" s="14"/>
      <c r="Y41" s="14"/>
      <c r="Z41" s="16" t="s">
        <v>296</v>
      </c>
      <c r="AA41" s="13" t="s">
        <v>109</v>
      </c>
      <c r="AB41" s="14"/>
    </row>
    <row r="42" customFormat="false" ht="48" hidden="false" customHeight="true" outlineLevel="0" collapsed="false">
      <c r="A42" s="13" t="n">
        <v>41</v>
      </c>
      <c r="B42" s="13" t="s">
        <v>51</v>
      </c>
      <c r="C42" s="14" t="s">
        <v>297</v>
      </c>
      <c r="D42" s="13" t="s">
        <v>180</v>
      </c>
      <c r="E42" s="13" t="s">
        <v>36</v>
      </c>
      <c r="F42" s="13" t="s">
        <v>97</v>
      </c>
      <c r="G42" s="13" t="s">
        <v>98</v>
      </c>
      <c r="H42" s="13"/>
      <c r="I42" s="14" t="s">
        <v>298</v>
      </c>
      <c r="J42" s="15"/>
      <c r="K42" s="14"/>
      <c r="L42" s="15"/>
      <c r="M42" s="13" t="str">
        <f aca="false">IF(L42="","",说明!$B$4-L42)</f>
        <v/>
      </c>
      <c r="N42" s="14"/>
      <c r="O42" s="15"/>
      <c r="P42" s="15"/>
      <c r="Q42" s="14"/>
      <c r="R42" s="13" t="str">
        <f aca="false">IF(AND(P42="",O42=""),"",IF(OR(N(P42)&gt;=说明!$B$5,N(O42)&gt;=说明!$B$6),"大型",IF(OR(N(P42)&gt;=说明!$B$7,N(O42)&gt;=说明!$B$8),"中型","小型")))</f>
        <v/>
      </c>
      <c r="S42" s="14"/>
      <c r="T42" s="13"/>
      <c r="U42" s="15"/>
      <c r="V42" s="15"/>
      <c r="W42" s="13"/>
      <c r="X42" s="14"/>
      <c r="Y42" s="14"/>
      <c r="Z42" s="16" t="s">
        <v>299</v>
      </c>
      <c r="AA42" s="13" t="s">
        <v>118</v>
      </c>
      <c r="AB42" s="14" t="s">
        <v>300</v>
      </c>
    </row>
    <row r="43" customFormat="false" ht="48" hidden="false" customHeight="true" outlineLevel="0" collapsed="false">
      <c r="A43" s="13" t="n">
        <v>42</v>
      </c>
      <c r="B43" s="13" t="s">
        <v>51</v>
      </c>
      <c r="C43" s="14" t="s">
        <v>301</v>
      </c>
      <c r="D43" s="13" t="s">
        <v>192</v>
      </c>
      <c r="E43" s="13" t="s">
        <v>37</v>
      </c>
      <c r="F43" s="13" t="s">
        <v>127</v>
      </c>
      <c r="G43" s="13" t="s">
        <v>128</v>
      </c>
      <c r="H43" s="13"/>
      <c r="I43" s="14"/>
      <c r="J43" s="15"/>
      <c r="K43" s="14"/>
      <c r="L43" s="15"/>
      <c r="M43" s="13" t="str">
        <f aca="false">IF(L43="","",说明!$B$4-L43)</f>
        <v/>
      </c>
      <c r="N43" s="14"/>
      <c r="O43" s="15"/>
      <c r="P43" s="15"/>
      <c r="Q43" s="14"/>
      <c r="R43" s="13" t="str">
        <f aca="false">IF(AND(P43="",O43=""),"",IF(OR(N(P43)&gt;=说明!$B$5,N(O43)&gt;=说明!$B$6),"大型",IF(OR(N(P43)&gt;=说明!$B$7,N(O43)&gt;=说明!$B$8),"中型","小型")))</f>
        <v/>
      </c>
      <c r="S43" s="14"/>
      <c r="T43" s="13"/>
      <c r="U43" s="15"/>
      <c r="V43" s="15"/>
      <c r="W43" s="13"/>
      <c r="X43" s="14"/>
      <c r="Y43" s="14"/>
      <c r="Z43" s="16" t="s">
        <v>302</v>
      </c>
      <c r="AA43" s="13" t="s">
        <v>118</v>
      </c>
      <c r="AB43" s="14"/>
    </row>
    <row r="44" customFormat="false" ht="48" hidden="false" customHeight="true" outlineLevel="0" collapsed="false">
      <c r="A44" s="13" t="n">
        <v>43</v>
      </c>
      <c r="B44" s="13" t="s">
        <v>51</v>
      </c>
      <c r="C44" s="14" t="s">
        <v>303</v>
      </c>
      <c r="D44" s="13" t="s">
        <v>304</v>
      </c>
      <c r="E44" s="13" t="s">
        <v>37</v>
      </c>
      <c r="F44" s="13" t="s">
        <v>131</v>
      </c>
      <c r="G44" s="13" t="s">
        <v>134</v>
      </c>
      <c r="H44" s="13"/>
      <c r="I44" s="14" t="s">
        <v>305</v>
      </c>
      <c r="J44" s="15"/>
      <c r="K44" s="14"/>
      <c r="L44" s="15"/>
      <c r="M44" s="13" t="str">
        <f aca="false">IF(L44="","",说明!$B$4-L44)</f>
        <v/>
      </c>
      <c r="N44" s="14"/>
      <c r="O44" s="15"/>
      <c r="P44" s="15"/>
      <c r="Q44" s="14"/>
      <c r="R44" s="13" t="str">
        <f aca="false">IF(AND(P44="",O44=""),"",IF(OR(N(P44)&gt;=说明!$B$5,N(O44)&gt;=说明!$B$6),"大型",IF(OR(N(P44)&gt;=说明!$B$7,N(O44)&gt;=说明!$B$8),"中型","小型")))</f>
        <v/>
      </c>
      <c r="S44" s="14"/>
      <c r="T44" s="13"/>
      <c r="U44" s="15"/>
      <c r="V44" s="15"/>
      <c r="W44" s="13"/>
      <c r="X44" s="14"/>
      <c r="Y44" s="14"/>
      <c r="Z44" s="16" t="s">
        <v>137</v>
      </c>
      <c r="AA44" s="13" t="s">
        <v>109</v>
      </c>
      <c r="AB44" s="14"/>
    </row>
    <row r="45" customFormat="false" ht="48" hidden="false" customHeight="true" outlineLevel="0" collapsed="false">
      <c r="A45" s="13" t="n">
        <v>44</v>
      </c>
      <c r="B45" s="13" t="s">
        <v>51</v>
      </c>
      <c r="C45" s="14" t="s">
        <v>306</v>
      </c>
      <c r="D45" s="13" t="s">
        <v>307</v>
      </c>
      <c r="E45" s="13" t="s">
        <v>37</v>
      </c>
      <c r="F45" s="13" t="s">
        <v>131</v>
      </c>
      <c r="G45" s="13" t="s">
        <v>134</v>
      </c>
      <c r="H45" s="13"/>
      <c r="I45" s="14" t="s">
        <v>308</v>
      </c>
      <c r="J45" s="13" t="s">
        <v>309</v>
      </c>
      <c r="K45" s="14"/>
      <c r="L45" s="15"/>
      <c r="M45" s="13" t="str">
        <f aca="false">IF(L45="","",说明!$B$4-L45)</f>
        <v/>
      </c>
      <c r="N45" s="14"/>
      <c r="O45" s="15"/>
      <c r="P45" s="15"/>
      <c r="Q45" s="14"/>
      <c r="R45" s="13" t="str">
        <f aca="false">IF(AND(P45="",O45=""),"",IF(OR(N(P45)&gt;=说明!$B$5,N(O45)&gt;=说明!$B$6),"大型",IF(OR(N(P45)&gt;=说明!$B$7,N(O45)&gt;=说明!$B$8),"中型","小型")))</f>
        <v/>
      </c>
      <c r="S45" s="14"/>
      <c r="T45" s="13"/>
      <c r="U45" s="15"/>
      <c r="V45" s="15"/>
      <c r="W45" s="13"/>
      <c r="X45" s="14"/>
      <c r="Y45" s="14"/>
      <c r="Z45" s="16" t="s">
        <v>137</v>
      </c>
      <c r="AA45" s="13" t="s">
        <v>109</v>
      </c>
      <c r="AB45" s="14"/>
    </row>
    <row r="46" customFormat="false" ht="48" hidden="false" customHeight="true" outlineLevel="0" collapsed="false">
      <c r="A46" s="13" t="n">
        <v>45</v>
      </c>
      <c r="B46" s="13" t="s">
        <v>51</v>
      </c>
      <c r="C46" s="14" t="s">
        <v>310</v>
      </c>
      <c r="D46" s="13" t="s">
        <v>311</v>
      </c>
      <c r="E46" s="13" t="s">
        <v>37</v>
      </c>
      <c r="F46" s="13" t="s">
        <v>131</v>
      </c>
      <c r="G46" s="13" t="s">
        <v>134</v>
      </c>
      <c r="H46" s="13"/>
      <c r="I46" s="14" t="s">
        <v>308</v>
      </c>
      <c r="J46" s="13" t="s">
        <v>309</v>
      </c>
      <c r="K46" s="14"/>
      <c r="L46" s="15"/>
      <c r="M46" s="13" t="str">
        <f aca="false">IF(L46="","",说明!$B$4-L46)</f>
        <v/>
      </c>
      <c r="N46" s="14"/>
      <c r="O46" s="15"/>
      <c r="P46" s="15"/>
      <c r="Q46" s="14"/>
      <c r="R46" s="13" t="str">
        <f aca="false">IF(AND(P46="",O46=""),"",IF(OR(N(P46)&gt;=说明!$B$5,N(O46)&gt;=说明!$B$6),"大型",IF(OR(N(P46)&gt;=说明!$B$7,N(O46)&gt;=说明!$B$8),"中型","小型")))</f>
        <v/>
      </c>
      <c r="S46" s="14"/>
      <c r="T46" s="13"/>
      <c r="U46" s="15"/>
      <c r="V46" s="15"/>
      <c r="W46" s="13"/>
      <c r="X46" s="14"/>
      <c r="Y46" s="14"/>
      <c r="Z46" s="16" t="s">
        <v>137</v>
      </c>
      <c r="AA46" s="13" t="s">
        <v>109</v>
      </c>
      <c r="AB46" s="14"/>
    </row>
    <row r="47" customFormat="false" ht="48" hidden="false" customHeight="true" outlineLevel="0" collapsed="false">
      <c r="A47" s="13" t="n">
        <v>46</v>
      </c>
      <c r="B47" s="13" t="s">
        <v>51</v>
      </c>
      <c r="C47" s="14" t="s">
        <v>312</v>
      </c>
      <c r="D47" s="13" t="s">
        <v>313</v>
      </c>
      <c r="E47" s="13" t="s">
        <v>37</v>
      </c>
      <c r="F47" s="13" t="s">
        <v>131</v>
      </c>
      <c r="G47" s="13" t="s">
        <v>128</v>
      </c>
      <c r="H47" s="13"/>
      <c r="I47" s="14"/>
      <c r="J47" s="15"/>
      <c r="K47" s="14"/>
      <c r="L47" s="15"/>
      <c r="M47" s="13" t="str">
        <f aca="false">IF(L47="","",说明!$B$4-L47)</f>
        <v/>
      </c>
      <c r="N47" s="14"/>
      <c r="O47" s="15"/>
      <c r="P47" s="15"/>
      <c r="Q47" s="14"/>
      <c r="R47" s="13" t="str">
        <f aca="false">IF(AND(P47="",O47=""),"",IF(OR(N(P47)&gt;=说明!$B$5,N(O47)&gt;=说明!$B$6),"大型",IF(OR(N(P47)&gt;=说明!$B$7,N(O47)&gt;=说明!$B$8),"中型","小型")))</f>
        <v/>
      </c>
      <c r="S47" s="14"/>
      <c r="T47" s="13"/>
      <c r="U47" s="15"/>
      <c r="V47" s="15"/>
      <c r="W47" s="13"/>
      <c r="X47" s="14"/>
      <c r="Y47" s="14"/>
      <c r="Z47" s="16" t="s">
        <v>314</v>
      </c>
      <c r="AA47" s="13" t="s">
        <v>118</v>
      </c>
      <c r="AB47" s="14"/>
    </row>
    <row r="48" customFormat="false" ht="48" hidden="false" customHeight="true" outlineLevel="0" collapsed="false">
      <c r="A48" s="13" t="n">
        <v>47</v>
      </c>
      <c r="B48" s="13" t="s">
        <v>51</v>
      </c>
      <c r="C48" s="14" t="s">
        <v>315</v>
      </c>
      <c r="D48" s="13" t="s">
        <v>316</v>
      </c>
      <c r="E48" s="13" t="s">
        <v>37</v>
      </c>
      <c r="F48" s="13" t="s">
        <v>131</v>
      </c>
      <c r="G48" s="13" t="s">
        <v>128</v>
      </c>
      <c r="H48" s="13"/>
      <c r="I48" s="14"/>
      <c r="J48" s="15"/>
      <c r="K48" s="14"/>
      <c r="L48" s="15"/>
      <c r="M48" s="13" t="str">
        <f aca="false">IF(L48="","",说明!$B$4-L48)</f>
        <v/>
      </c>
      <c r="N48" s="14"/>
      <c r="O48" s="15"/>
      <c r="P48" s="15"/>
      <c r="Q48" s="14"/>
      <c r="R48" s="13" t="str">
        <f aca="false">IF(AND(P48="",O48=""),"",IF(OR(N(P48)&gt;=说明!$B$5,N(O48)&gt;=说明!$B$6),"大型",IF(OR(N(P48)&gt;=说明!$B$7,N(O48)&gt;=说明!$B$8),"中型","小型")))</f>
        <v/>
      </c>
      <c r="S48" s="14"/>
      <c r="T48" s="13"/>
      <c r="U48" s="15"/>
      <c r="V48" s="15"/>
      <c r="W48" s="13"/>
      <c r="X48" s="14"/>
      <c r="Y48" s="14"/>
      <c r="Z48" s="16" t="s">
        <v>317</v>
      </c>
      <c r="AA48" s="13" t="s">
        <v>118</v>
      </c>
      <c r="AB48" s="14"/>
    </row>
    <row r="49" customFormat="false" ht="48" hidden="false" customHeight="true" outlineLevel="0" collapsed="false">
      <c r="A49" s="13" t="n">
        <v>48</v>
      </c>
      <c r="B49" s="13" t="s">
        <v>52</v>
      </c>
      <c r="C49" s="14" t="s">
        <v>318</v>
      </c>
      <c r="D49" s="13" t="s">
        <v>319</v>
      </c>
      <c r="E49" s="13" t="s">
        <v>36</v>
      </c>
      <c r="F49" s="13" t="s">
        <v>97</v>
      </c>
      <c r="G49" s="13" t="s">
        <v>98</v>
      </c>
      <c r="H49" s="13" t="s">
        <v>320</v>
      </c>
      <c r="I49" s="14" t="s">
        <v>321</v>
      </c>
      <c r="J49" s="15"/>
      <c r="K49" s="14"/>
      <c r="L49" s="15"/>
      <c r="M49" s="13" t="str">
        <f aca="false">IF(L49="","",说明!$B$4-L49)</f>
        <v/>
      </c>
      <c r="N49" s="14"/>
      <c r="O49" s="15"/>
      <c r="P49" s="15"/>
      <c r="Q49" s="14"/>
      <c r="R49" s="13" t="str">
        <f aca="false">IF(AND(P49="",O49=""),"",IF(OR(N(P49)&gt;=说明!$B$5,N(O49)&gt;=说明!$B$6),"大型",IF(OR(N(P49)&gt;=说明!$B$7,N(O49)&gt;=说明!$B$8),"中型","小型")))</f>
        <v/>
      </c>
      <c r="S49" s="14"/>
      <c r="T49" s="13"/>
      <c r="U49" s="15"/>
      <c r="V49" s="15"/>
      <c r="W49" s="13"/>
      <c r="X49" s="14"/>
      <c r="Y49" s="14"/>
      <c r="Z49" s="16" t="s">
        <v>322</v>
      </c>
      <c r="AA49" s="13" t="s">
        <v>118</v>
      </c>
      <c r="AB49" s="14" t="s">
        <v>147</v>
      </c>
    </row>
    <row r="50" customFormat="false" ht="48" hidden="false" customHeight="true" outlineLevel="0" collapsed="false">
      <c r="A50" s="13" t="n">
        <v>49</v>
      </c>
      <c r="B50" s="13" t="s">
        <v>52</v>
      </c>
      <c r="C50" s="14" t="s">
        <v>323</v>
      </c>
      <c r="D50" s="13" t="s">
        <v>324</v>
      </c>
      <c r="E50" s="13" t="s">
        <v>36</v>
      </c>
      <c r="F50" s="13" t="s">
        <v>97</v>
      </c>
      <c r="G50" s="13" t="s">
        <v>325</v>
      </c>
      <c r="H50" s="13"/>
      <c r="I50" s="14" t="s">
        <v>326</v>
      </c>
      <c r="J50" s="15"/>
      <c r="K50" s="14"/>
      <c r="L50" s="15"/>
      <c r="M50" s="13" t="str">
        <f aca="false">IF(L50="","",说明!$B$4-L50)</f>
        <v/>
      </c>
      <c r="N50" s="14"/>
      <c r="O50" s="15"/>
      <c r="P50" s="15"/>
      <c r="Q50" s="14" t="s">
        <v>327</v>
      </c>
      <c r="R50" s="13" t="str">
        <f aca="false">IF(AND(P50="",O50=""),"",IF(OR(N(P50)&gt;=说明!$B$5,N(O50)&gt;=说明!$B$6),"大型",IF(OR(N(P50)&gt;=说明!$B$7,N(O50)&gt;=说明!$B$8),"中型","小型")))</f>
        <v/>
      </c>
      <c r="S50" s="14" t="s">
        <v>328</v>
      </c>
      <c r="T50" s="13"/>
      <c r="U50" s="15"/>
      <c r="V50" s="15"/>
      <c r="W50" s="13"/>
      <c r="X50" s="14"/>
      <c r="Y50" s="14" t="s">
        <v>329</v>
      </c>
      <c r="Z50" s="16" t="s">
        <v>330</v>
      </c>
      <c r="AA50" s="13" t="s">
        <v>118</v>
      </c>
      <c r="AB50" s="14"/>
    </row>
    <row r="51" customFormat="false" ht="48" hidden="false" customHeight="true" outlineLevel="0" collapsed="false">
      <c r="A51" s="13" t="n">
        <v>50</v>
      </c>
      <c r="B51" s="13" t="s">
        <v>52</v>
      </c>
      <c r="C51" s="14" t="s">
        <v>331</v>
      </c>
      <c r="D51" s="13" t="s">
        <v>180</v>
      </c>
      <c r="E51" s="13" t="s">
        <v>36</v>
      </c>
      <c r="F51" s="13" t="s">
        <v>97</v>
      </c>
      <c r="G51" s="13" t="s">
        <v>98</v>
      </c>
      <c r="H51" s="13"/>
      <c r="I51" s="14" t="s">
        <v>332</v>
      </c>
      <c r="J51" s="15"/>
      <c r="K51" s="14"/>
      <c r="L51" s="15"/>
      <c r="M51" s="13" t="str">
        <f aca="false">IF(L51="","",说明!$B$4-L51)</f>
        <v/>
      </c>
      <c r="N51" s="14"/>
      <c r="O51" s="15"/>
      <c r="P51" s="15"/>
      <c r="Q51" s="14"/>
      <c r="R51" s="13" t="str">
        <f aca="false">IF(AND(P51="",O51=""),"",IF(OR(N(P51)&gt;=说明!$B$5,N(O51)&gt;=说明!$B$6),"大型",IF(OR(N(P51)&gt;=说明!$B$7,N(O51)&gt;=说明!$B$8),"中型","小型")))</f>
        <v/>
      </c>
      <c r="S51" s="14"/>
      <c r="T51" s="13"/>
      <c r="U51" s="15"/>
      <c r="V51" s="15"/>
      <c r="W51" s="13"/>
      <c r="X51" s="14"/>
      <c r="Y51" s="14"/>
      <c r="Z51" s="16" t="s">
        <v>333</v>
      </c>
      <c r="AA51" s="13" t="s">
        <v>118</v>
      </c>
      <c r="AB51" s="14"/>
    </row>
    <row r="52" customFormat="false" ht="48" hidden="false" customHeight="true" outlineLevel="0" collapsed="false">
      <c r="A52" s="13" t="n">
        <v>51</v>
      </c>
      <c r="B52" s="13" t="s">
        <v>52</v>
      </c>
      <c r="C52" s="14" t="s">
        <v>334</v>
      </c>
      <c r="D52" s="13" t="s">
        <v>335</v>
      </c>
      <c r="E52" s="13" t="s">
        <v>36</v>
      </c>
      <c r="F52" s="13" t="s">
        <v>97</v>
      </c>
      <c r="G52" s="13" t="s">
        <v>98</v>
      </c>
      <c r="H52" s="13"/>
      <c r="I52" s="14"/>
      <c r="J52" s="15"/>
      <c r="K52" s="14"/>
      <c r="L52" s="15"/>
      <c r="M52" s="13" t="str">
        <f aca="false">IF(L52="","",说明!$B$4-L52)</f>
        <v/>
      </c>
      <c r="N52" s="14"/>
      <c r="O52" s="15"/>
      <c r="P52" s="15"/>
      <c r="Q52" s="14" t="s">
        <v>336</v>
      </c>
      <c r="R52" s="13" t="str">
        <f aca="false">IF(AND(P52="",O52=""),"",IF(OR(N(P52)&gt;=说明!$B$5,N(O52)&gt;=说明!$B$6),"大型",IF(OR(N(P52)&gt;=说明!$B$7,N(O52)&gt;=说明!$B$8),"中型","小型")))</f>
        <v/>
      </c>
      <c r="S52" s="14"/>
      <c r="T52" s="13"/>
      <c r="U52" s="15"/>
      <c r="V52" s="15"/>
      <c r="W52" s="13"/>
      <c r="X52" s="14"/>
      <c r="Y52" s="14"/>
      <c r="Z52" s="16" t="s">
        <v>337</v>
      </c>
      <c r="AA52" s="13" t="s">
        <v>118</v>
      </c>
      <c r="AB52" s="14" t="s">
        <v>338</v>
      </c>
    </row>
    <row r="53" customFormat="false" ht="48" hidden="false" customHeight="true" outlineLevel="0" collapsed="false">
      <c r="A53" s="13" t="n">
        <v>52</v>
      </c>
      <c r="B53" s="13" t="s">
        <v>52</v>
      </c>
      <c r="C53" s="14" t="s">
        <v>339</v>
      </c>
      <c r="D53" s="13" t="s">
        <v>340</v>
      </c>
      <c r="E53" s="13" t="s">
        <v>39</v>
      </c>
      <c r="F53" s="13" t="s">
        <v>142</v>
      </c>
      <c r="G53" s="13" t="s">
        <v>341</v>
      </c>
      <c r="H53" s="13"/>
      <c r="I53" s="14"/>
      <c r="J53" s="15"/>
      <c r="K53" s="14"/>
      <c r="L53" s="15"/>
      <c r="M53" s="13" t="str">
        <f aca="false">IF(L53="","",说明!$B$4-L53)</f>
        <v/>
      </c>
      <c r="N53" s="14" t="s">
        <v>342</v>
      </c>
      <c r="O53" s="15"/>
      <c r="P53" s="15"/>
      <c r="Q53" s="14"/>
      <c r="R53" s="13" t="str">
        <f aca="false">IF(AND(P53="",O53=""),"",IF(OR(N(P53)&gt;=说明!$B$5,N(O53)&gt;=说明!$B$6),"大型",IF(OR(N(P53)&gt;=说明!$B$7,N(O53)&gt;=说明!$B$8),"中型","小型")))</f>
        <v/>
      </c>
      <c r="S53" s="14"/>
      <c r="T53" s="13" t="s">
        <v>343</v>
      </c>
      <c r="U53" s="15"/>
      <c r="V53" s="15"/>
      <c r="W53" s="13"/>
      <c r="X53" s="14"/>
      <c r="Y53" s="14"/>
      <c r="Z53" s="16" t="s">
        <v>344</v>
      </c>
      <c r="AA53" s="13" t="s">
        <v>118</v>
      </c>
      <c r="AB53" s="14"/>
    </row>
    <row r="54" customFormat="false" ht="48" hidden="false" customHeight="true" outlineLevel="0" collapsed="false">
      <c r="A54" s="13" t="n">
        <v>53</v>
      </c>
      <c r="B54" s="13" t="s">
        <v>53</v>
      </c>
      <c r="C54" s="14" t="s">
        <v>345</v>
      </c>
      <c r="D54" s="13" t="s">
        <v>346</v>
      </c>
      <c r="E54" s="13" t="s">
        <v>41</v>
      </c>
      <c r="F54" s="13" t="s">
        <v>97</v>
      </c>
      <c r="G54" s="13" t="s">
        <v>98</v>
      </c>
      <c r="H54" s="13"/>
      <c r="I54" s="14" t="s">
        <v>347</v>
      </c>
      <c r="J54" s="15"/>
      <c r="K54" s="14"/>
      <c r="L54" s="13" t="n">
        <v>2013</v>
      </c>
      <c r="M54" s="13" t="n">
        <f aca="false">IF(L54="","",说明!$B$4-L54)</f>
        <v>13</v>
      </c>
      <c r="N54" s="14" t="s">
        <v>348</v>
      </c>
      <c r="O54" s="15"/>
      <c r="P54" s="15"/>
      <c r="Q54" s="14"/>
      <c r="R54" s="13" t="str">
        <f aca="false">IF(AND(P54="",O54=""),"",IF(OR(N(P54)&gt;=说明!$B$5,N(O54)&gt;=说明!$B$6),"大型",IF(OR(N(P54)&gt;=说明!$B$7,N(O54)&gt;=说明!$B$8),"中型","小型")))</f>
        <v/>
      </c>
      <c r="S54" s="14" t="s">
        <v>349</v>
      </c>
      <c r="T54" s="13"/>
      <c r="U54" s="15"/>
      <c r="V54" s="15"/>
      <c r="W54" s="13"/>
      <c r="X54" s="14"/>
      <c r="Y54" s="14" t="s">
        <v>350</v>
      </c>
      <c r="Z54" s="16" t="s">
        <v>351</v>
      </c>
      <c r="AA54" s="13" t="s">
        <v>109</v>
      </c>
      <c r="AB54" s="14"/>
    </row>
    <row r="55" customFormat="false" ht="48" hidden="false" customHeight="true" outlineLevel="0" collapsed="false">
      <c r="A55" s="13" t="n">
        <v>54</v>
      </c>
      <c r="B55" s="13" t="s">
        <v>53</v>
      </c>
      <c r="C55" s="14" t="s">
        <v>352</v>
      </c>
      <c r="D55" s="13" t="s">
        <v>180</v>
      </c>
      <c r="E55" s="13" t="s">
        <v>36</v>
      </c>
      <c r="F55" s="13" t="s">
        <v>97</v>
      </c>
      <c r="G55" s="13" t="s">
        <v>98</v>
      </c>
      <c r="H55" s="13"/>
      <c r="I55" s="14" t="s">
        <v>353</v>
      </c>
      <c r="J55" s="15"/>
      <c r="K55" s="14"/>
      <c r="L55" s="15"/>
      <c r="M55" s="13" t="str">
        <f aca="false">IF(L55="","",说明!$B$4-L55)</f>
        <v/>
      </c>
      <c r="N55" s="14"/>
      <c r="O55" s="15"/>
      <c r="P55" s="15"/>
      <c r="Q55" s="14"/>
      <c r="R55" s="13" t="str">
        <f aca="false">IF(AND(P55="",O55=""),"",IF(OR(N(P55)&gt;=说明!$B$5,N(O55)&gt;=说明!$B$6),"大型",IF(OR(N(P55)&gt;=说明!$B$7,N(O55)&gt;=说明!$B$8),"中型","小型")))</f>
        <v/>
      </c>
      <c r="S55" s="14"/>
      <c r="T55" s="13"/>
      <c r="U55" s="15"/>
      <c r="V55" s="15"/>
      <c r="W55" s="13"/>
      <c r="X55" s="14"/>
      <c r="Y55" s="14"/>
      <c r="Z55" s="16" t="s">
        <v>299</v>
      </c>
      <c r="AA55" s="13" t="s">
        <v>118</v>
      </c>
      <c r="AB55" s="14" t="s">
        <v>354</v>
      </c>
    </row>
    <row r="56" customFormat="false" ht="48" hidden="false" customHeight="true" outlineLevel="0" collapsed="false">
      <c r="A56" s="13" t="n">
        <v>55</v>
      </c>
      <c r="B56" s="13" t="s">
        <v>53</v>
      </c>
      <c r="C56" s="14" t="s">
        <v>355</v>
      </c>
      <c r="D56" s="13" t="s">
        <v>356</v>
      </c>
      <c r="E56" s="13" t="s">
        <v>39</v>
      </c>
      <c r="F56" s="13" t="s">
        <v>97</v>
      </c>
      <c r="G56" s="13" t="s">
        <v>98</v>
      </c>
      <c r="H56" s="13"/>
      <c r="I56" s="14" t="s">
        <v>357</v>
      </c>
      <c r="J56" s="15"/>
      <c r="K56" s="14" t="s">
        <v>358</v>
      </c>
      <c r="L56" s="13" t="n">
        <v>2026</v>
      </c>
      <c r="M56" s="13" t="n">
        <f aca="false">IF(L56="","",说明!$B$4-L56)</f>
        <v>0</v>
      </c>
      <c r="N56" s="14" t="s">
        <v>359</v>
      </c>
      <c r="O56" s="13" t="n">
        <v>1</v>
      </c>
      <c r="P56" s="13" t="n">
        <v>120</v>
      </c>
      <c r="Q56" s="14" t="s">
        <v>357</v>
      </c>
      <c r="R56" s="13" t="str">
        <f aca="false">IF(AND(P56="",O56=""),"",IF(OR(N(P56)&gt;=说明!$B$5,N(O56)&gt;=说明!$B$6),"大型",IF(OR(N(P56)&gt;=说明!$B$7,N(O56)&gt;=说明!$B$8),"中型","小型")))</f>
        <v>中型</v>
      </c>
      <c r="S56" s="14" t="s">
        <v>360</v>
      </c>
      <c r="T56" s="13"/>
      <c r="U56" s="15"/>
      <c r="V56" s="15"/>
      <c r="W56" s="13"/>
      <c r="X56" s="14"/>
      <c r="Y56" s="14"/>
      <c r="Z56" s="16" t="s">
        <v>361</v>
      </c>
      <c r="AA56" s="13" t="s">
        <v>362</v>
      </c>
      <c r="AB56" s="14"/>
    </row>
    <row r="57" customFormat="false" ht="48" hidden="false" customHeight="true" outlineLevel="0" collapsed="false">
      <c r="A57" s="13" t="n">
        <v>56</v>
      </c>
      <c r="B57" s="13" t="s">
        <v>53</v>
      </c>
      <c r="C57" s="14" t="s">
        <v>363</v>
      </c>
      <c r="D57" s="13" t="s">
        <v>364</v>
      </c>
      <c r="E57" s="13" t="s">
        <v>38</v>
      </c>
      <c r="F57" s="13" t="s">
        <v>97</v>
      </c>
      <c r="G57" s="13" t="s">
        <v>98</v>
      </c>
      <c r="H57" s="13"/>
      <c r="I57" s="14" t="s">
        <v>365</v>
      </c>
      <c r="J57" s="15"/>
      <c r="K57" s="14"/>
      <c r="L57" s="13" t="n">
        <v>2015</v>
      </c>
      <c r="M57" s="13" t="n">
        <f aca="false">IF(L57="","",说明!$B$4-L57)</f>
        <v>11</v>
      </c>
      <c r="N57" s="14" t="s">
        <v>366</v>
      </c>
      <c r="O57" s="15"/>
      <c r="P57" s="15"/>
      <c r="Q57" s="14"/>
      <c r="R57" s="13" t="str">
        <f aca="false">IF(AND(P57="",O57=""),"",IF(OR(N(P57)&gt;=说明!$B$5,N(O57)&gt;=说明!$B$6),"大型",IF(OR(N(P57)&gt;=说明!$B$7,N(O57)&gt;=说明!$B$8),"中型","小型")))</f>
        <v/>
      </c>
      <c r="S57" s="14"/>
      <c r="T57" s="13"/>
      <c r="U57" s="15"/>
      <c r="V57" s="15"/>
      <c r="W57" s="13"/>
      <c r="X57" s="14"/>
      <c r="Y57" s="14"/>
      <c r="Z57" s="16" t="s">
        <v>367</v>
      </c>
      <c r="AA57" s="13" t="s">
        <v>118</v>
      </c>
      <c r="AB57" s="14"/>
    </row>
    <row r="58" customFormat="false" ht="48" hidden="false" customHeight="true" outlineLevel="0" collapsed="false">
      <c r="A58" s="13" t="n">
        <v>57</v>
      </c>
      <c r="B58" s="13" t="s">
        <v>53</v>
      </c>
      <c r="C58" s="14" t="s">
        <v>368</v>
      </c>
      <c r="D58" s="13" t="s">
        <v>369</v>
      </c>
      <c r="E58" s="13" t="s">
        <v>37</v>
      </c>
      <c r="F58" s="13" t="s">
        <v>127</v>
      </c>
      <c r="G58" s="13" t="s">
        <v>128</v>
      </c>
      <c r="H58" s="13"/>
      <c r="I58" s="14"/>
      <c r="J58" s="15"/>
      <c r="K58" s="14"/>
      <c r="L58" s="15"/>
      <c r="M58" s="13" t="str">
        <f aca="false">IF(L58="","",说明!$B$4-L58)</f>
        <v/>
      </c>
      <c r="N58" s="14"/>
      <c r="O58" s="15"/>
      <c r="P58" s="15"/>
      <c r="Q58" s="14"/>
      <c r="R58" s="13" t="str">
        <f aca="false">IF(AND(P58="",O58=""),"",IF(OR(N(P58)&gt;=说明!$B$5,N(O58)&gt;=说明!$B$6),"大型",IF(OR(N(P58)&gt;=说明!$B$7,N(O58)&gt;=说明!$B$8),"中型","小型")))</f>
        <v/>
      </c>
      <c r="S58" s="14"/>
      <c r="T58" s="13"/>
      <c r="U58" s="15"/>
      <c r="V58" s="15"/>
      <c r="W58" s="13"/>
      <c r="X58" s="14"/>
      <c r="Y58" s="14"/>
      <c r="Z58" s="16" t="s">
        <v>370</v>
      </c>
      <c r="AA58" s="13" t="s">
        <v>118</v>
      </c>
      <c r="AB58" s="14"/>
    </row>
    <row r="59" customFormat="false" ht="48" hidden="false" customHeight="true" outlineLevel="0" collapsed="false">
      <c r="A59" s="13" t="n">
        <v>58</v>
      </c>
      <c r="B59" s="13" t="s">
        <v>53</v>
      </c>
      <c r="C59" s="14" t="s">
        <v>371</v>
      </c>
      <c r="D59" s="13" t="s">
        <v>369</v>
      </c>
      <c r="E59" s="13" t="s">
        <v>37</v>
      </c>
      <c r="F59" s="13" t="s">
        <v>127</v>
      </c>
      <c r="G59" s="13" t="s">
        <v>128</v>
      </c>
      <c r="H59" s="13"/>
      <c r="I59" s="14"/>
      <c r="J59" s="15"/>
      <c r="K59" s="14"/>
      <c r="L59" s="15"/>
      <c r="M59" s="13" t="str">
        <f aca="false">IF(L59="","",说明!$B$4-L59)</f>
        <v/>
      </c>
      <c r="N59" s="14"/>
      <c r="O59" s="15"/>
      <c r="P59" s="15"/>
      <c r="Q59" s="14"/>
      <c r="R59" s="13" t="str">
        <f aca="false">IF(AND(P59="",O59=""),"",IF(OR(N(P59)&gt;=说明!$B$5,N(O59)&gt;=说明!$B$6),"大型",IF(OR(N(P59)&gt;=说明!$B$7,N(O59)&gt;=说明!$B$8),"中型","小型")))</f>
        <v/>
      </c>
      <c r="S59" s="14"/>
      <c r="T59" s="13"/>
      <c r="U59" s="15"/>
      <c r="V59" s="15"/>
      <c r="W59" s="13"/>
      <c r="X59" s="14"/>
      <c r="Y59" s="14"/>
      <c r="Z59" s="16" t="s">
        <v>372</v>
      </c>
      <c r="AA59" s="13" t="s">
        <v>118</v>
      </c>
      <c r="AB59" s="14"/>
    </row>
    <row r="60" customFormat="false" ht="48" hidden="false" customHeight="true" outlineLevel="0" collapsed="false">
      <c r="A60" s="13" t="n">
        <v>59</v>
      </c>
      <c r="B60" s="13" t="s">
        <v>53</v>
      </c>
      <c r="C60" s="14" t="s">
        <v>373</v>
      </c>
      <c r="D60" s="13" t="s">
        <v>374</v>
      </c>
      <c r="E60" s="13" t="s">
        <v>36</v>
      </c>
      <c r="F60" s="13" t="s">
        <v>127</v>
      </c>
      <c r="G60" s="13" t="s">
        <v>128</v>
      </c>
      <c r="H60" s="13"/>
      <c r="I60" s="14"/>
      <c r="J60" s="15"/>
      <c r="K60" s="14"/>
      <c r="L60" s="15"/>
      <c r="M60" s="13" t="str">
        <f aca="false">IF(L60="","",说明!$B$4-L60)</f>
        <v/>
      </c>
      <c r="N60" s="14"/>
      <c r="O60" s="15"/>
      <c r="P60" s="15"/>
      <c r="Q60" s="14"/>
      <c r="R60" s="13" t="str">
        <f aca="false">IF(AND(P60="",O60=""),"",IF(OR(N(P60)&gt;=说明!$B$5,N(O60)&gt;=说明!$B$6),"大型",IF(OR(N(P60)&gt;=说明!$B$7,N(O60)&gt;=说明!$B$8),"中型","小型")))</f>
        <v/>
      </c>
      <c r="S60" s="14"/>
      <c r="T60" s="13"/>
      <c r="U60" s="15"/>
      <c r="V60" s="15"/>
      <c r="W60" s="13"/>
      <c r="X60" s="14"/>
      <c r="Y60" s="14"/>
      <c r="Z60" s="16" t="s">
        <v>375</v>
      </c>
      <c r="AA60" s="13" t="s">
        <v>118</v>
      </c>
      <c r="AB60" s="14"/>
    </row>
    <row r="61" customFormat="false" ht="48" hidden="false" customHeight="true" outlineLevel="0" collapsed="false">
      <c r="A61" s="13" t="n">
        <v>60</v>
      </c>
      <c r="B61" s="13" t="s">
        <v>53</v>
      </c>
      <c r="C61" s="14" t="s">
        <v>376</v>
      </c>
      <c r="D61" s="13" t="s">
        <v>377</v>
      </c>
      <c r="E61" s="13" t="s">
        <v>36</v>
      </c>
      <c r="F61" s="13" t="s">
        <v>127</v>
      </c>
      <c r="G61" s="13" t="s">
        <v>128</v>
      </c>
      <c r="H61" s="13"/>
      <c r="I61" s="14"/>
      <c r="J61" s="15"/>
      <c r="K61" s="14"/>
      <c r="L61" s="15"/>
      <c r="M61" s="13" t="str">
        <f aca="false">IF(L61="","",说明!$B$4-L61)</f>
        <v/>
      </c>
      <c r="N61" s="14"/>
      <c r="O61" s="15"/>
      <c r="P61" s="15"/>
      <c r="Q61" s="14"/>
      <c r="R61" s="13" t="str">
        <f aca="false">IF(AND(P61="",O61=""),"",IF(OR(N(P61)&gt;=说明!$B$5,N(O61)&gt;=说明!$B$6),"大型",IF(OR(N(P61)&gt;=说明!$B$7,N(O61)&gt;=说明!$B$8),"中型","小型")))</f>
        <v/>
      </c>
      <c r="S61" s="14"/>
      <c r="T61" s="13"/>
      <c r="U61" s="15"/>
      <c r="V61" s="15"/>
      <c r="W61" s="13"/>
      <c r="X61" s="14"/>
      <c r="Y61" s="14"/>
      <c r="Z61" s="16" t="s">
        <v>378</v>
      </c>
      <c r="AA61" s="13" t="s">
        <v>118</v>
      </c>
      <c r="AB61" s="14"/>
    </row>
    <row r="62" customFormat="false" ht="48" hidden="false" customHeight="true" outlineLevel="0" collapsed="false">
      <c r="A62" s="13" t="n">
        <v>61</v>
      </c>
      <c r="B62" s="13" t="s">
        <v>53</v>
      </c>
      <c r="C62" s="14" t="s">
        <v>379</v>
      </c>
      <c r="D62" s="13" t="s">
        <v>379</v>
      </c>
      <c r="E62" s="13" t="s">
        <v>37</v>
      </c>
      <c r="F62" s="13" t="s">
        <v>131</v>
      </c>
      <c r="G62" s="13" t="s">
        <v>128</v>
      </c>
      <c r="H62" s="13"/>
      <c r="I62" s="14"/>
      <c r="J62" s="15"/>
      <c r="K62" s="14"/>
      <c r="L62" s="15"/>
      <c r="M62" s="13" t="str">
        <f aca="false">IF(L62="","",说明!$B$4-L62)</f>
        <v/>
      </c>
      <c r="N62" s="14"/>
      <c r="O62" s="15"/>
      <c r="P62" s="15"/>
      <c r="Q62" s="14"/>
      <c r="R62" s="13" t="str">
        <f aca="false">IF(AND(P62="",O62=""),"",IF(OR(N(P62)&gt;=说明!$B$5,N(O62)&gt;=说明!$B$6),"大型",IF(OR(N(P62)&gt;=说明!$B$7,N(O62)&gt;=说明!$B$8),"中型","小型")))</f>
        <v/>
      </c>
      <c r="S62" s="14"/>
      <c r="T62" s="13"/>
      <c r="U62" s="15"/>
      <c r="V62" s="15"/>
      <c r="W62" s="13"/>
      <c r="X62" s="14"/>
      <c r="Y62" s="14"/>
      <c r="Z62" s="16" t="s">
        <v>380</v>
      </c>
      <c r="AA62" s="13" t="s">
        <v>118</v>
      </c>
      <c r="AB62" s="14"/>
    </row>
    <row r="63" customFormat="false" ht="48" hidden="false" customHeight="true" outlineLevel="0" collapsed="false">
      <c r="A63" s="13" t="n">
        <v>62</v>
      </c>
      <c r="B63" s="13" t="s">
        <v>55</v>
      </c>
      <c r="C63" s="14" t="s">
        <v>381</v>
      </c>
      <c r="D63" s="13" t="s">
        <v>382</v>
      </c>
      <c r="E63" s="13" t="s">
        <v>37</v>
      </c>
      <c r="F63" s="13" t="s">
        <v>97</v>
      </c>
      <c r="G63" s="13" t="s">
        <v>98</v>
      </c>
      <c r="H63" s="13"/>
      <c r="I63" s="14"/>
      <c r="J63" s="15"/>
      <c r="K63" s="14"/>
      <c r="L63" s="13" t="n">
        <v>2017</v>
      </c>
      <c r="M63" s="13" t="n">
        <f aca="false">IF(L63="","",说明!$B$4-L63)</f>
        <v>9</v>
      </c>
      <c r="N63" s="14" t="s">
        <v>383</v>
      </c>
      <c r="O63" s="15"/>
      <c r="P63" s="15"/>
      <c r="Q63" s="14"/>
      <c r="R63" s="13" t="str">
        <f aca="false">IF(AND(P63="",O63=""),"",IF(OR(N(P63)&gt;=说明!$B$5,N(O63)&gt;=说明!$B$6),"大型",IF(OR(N(P63)&gt;=说明!$B$7,N(O63)&gt;=说明!$B$8),"中型","小型")))</f>
        <v/>
      </c>
      <c r="S63" s="14" t="s">
        <v>384</v>
      </c>
      <c r="T63" s="13"/>
      <c r="U63" s="15"/>
      <c r="V63" s="15"/>
      <c r="W63" s="13"/>
      <c r="X63" s="14"/>
      <c r="Y63" s="14" t="s">
        <v>385</v>
      </c>
      <c r="Z63" s="16" t="s">
        <v>386</v>
      </c>
      <c r="AA63" s="13" t="s">
        <v>109</v>
      </c>
      <c r="AB63" s="14"/>
    </row>
    <row r="64" customFormat="false" ht="48" hidden="false" customHeight="true" outlineLevel="0" collapsed="false">
      <c r="A64" s="13" t="n">
        <v>63</v>
      </c>
      <c r="B64" s="13" t="s">
        <v>55</v>
      </c>
      <c r="C64" s="14" t="s">
        <v>387</v>
      </c>
      <c r="D64" s="13"/>
      <c r="E64" s="13" t="s">
        <v>40</v>
      </c>
      <c r="F64" s="13" t="s">
        <v>217</v>
      </c>
      <c r="G64" s="13" t="s">
        <v>98</v>
      </c>
      <c r="H64" s="13"/>
      <c r="I64" s="14"/>
      <c r="J64" s="15"/>
      <c r="K64" s="14"/>
      <c r="L64" s="15"/>
      <c r="M64" s="13" t="str">
        <f aca="false">IF(L64="","",说明!$B$4-L64)</f>
        <v/>
      </c>
      <c r="N64" s="14"/>
      <c r="O64" s="15"/>
      <c r="P64" s="15"/>
      <c r="Q64" s="14"/>
      <c r="R64" s="13" t="str">
        <f aca="false">IF(AND(P64="",O64=""),"",IF(OR(N(P64)&gt;=说明!$B$5,N(O64)&gt;=说明!$B$6),"大型",IF(OR(N(P64)&gt;=说明!$B$7,N(O64)&gt;=说明!$B$8),"中型","小型")))</f>
        <v/>
      </c>
      <c r="S64" s="14" t="s">
        <v>388</v>
      </c>
      <c r="T64" s="13"/>
      <c r="U64" s="15"/>
      <c r="V64" s="15"/>
      <c r="W64" s="13"/>
      <c r="X64" s="14"/>
      <c r="Y64" s="14"/>
      <c r="Z64" s="16" t="s">
        <v>389</v>
      </c>
      <c r="AA64" s="13" t="s">
        <v>109</v>
      </c>
      <c r="AB64" s="14"/>
    </row>
    <row r="65" customFormat="false" ht="48" hidden="false" customHeight="true" outlineLevel="0" collapsed="false">
      <c r="A65" s="13" t="n">
        <v>64</v>
      </c>
      <c r="B65" s="13" t="s">
        <v>55</v>
      </c>
      <c r="C65" s="14" t="s">
        <v>390</v>
      </c>
      <c r="D65" s="13" t="s">
        <v>192</v>
      </c>
      <c r="E65" s="13" t="s">
        <v>37</v>
      </c>
      <c r="F65" s="13" t="s">
        <v>127</v>
      </c>
      <c r="G65" s="13" t="s">
        <v>128</v>
      </c>
      <c r="H65" s="13"/>
      <c r="I65" s="14"/>
      <c r="J65" s="15"/>
      <c r="K65" s="14"/>
      <c r="L65" s="15"/>
      <c r="M65" s="13" t="str">
        <f aca="false">IF(L65="","",说明!$B$4-L65)</f>
        <v/>
      </c>
      <c r="N65" s="14"/>
      <c r="O65" s="15"/>
      <c r="P65" s="15"/>
      <c r="Q65" s="14"/>
      <c r="R65" s="13" t="str">
        <f aca="false">IF(AND(P65="",O65=""),"",IF(OR(N(P65)&gt;=说明!$B$5,N(O65)&gt;=说明!$B$6),"大型",IF(OR(N(P65)&gt;=说明!$B$7,N(O65)&gt;=说明!$B$8),"中型","小型")))</f>
        <v/>
      </c>
      <c r="S65" s="14"/>
      <c r="T65" s="13"/>
      <c r="U65" s="15"/>
      <c r="V65" s="15"/>
      <c r="W65" s="13"/>
      <c r="X65" s="14"/>
      <c r="Y65" s="14"/>
      <c r="Z65" s="16" t="s">
        <v>391</v>
      </c>
      <c r="AA65" s="13" t="s">
        <v>118</v>
      </c>
      <c r="AB65" s="14"/>
    </row>
    <row r="66" customFormat="false" ht="48" hidden="false" customHeight="true" outlineLevel="0" collapsed="false">
      <c r="A66" s="13" t="n">
        <v>65</v>
      </c>
      <c r="B66" s="13" t="s">
        <v>55</v>
      </c>
      <c r="C66" s="14" t="s">
        <v>392</v>
      </c>
      <c r="D66" s="13" t="s">
        <v>392</v>
      </c>
      <c r="E66" s="13" t="s">
        <v>37</v>
      </c>
      <c r="F66" s="13" t="s">
        <v>131</v>
      </c>
      <c r="G66" s="13" t="s">
        <v>134</v>
      </c>
      <c r="H66" s="13"/>
      <c r="I66" s="14" t="s">
        <v>393</v>
      </c>
      <c r="J66" s="15"/>
      <c r="K66" s="14"/>
      <c r="L66" s="15"/>
      <c r="M66" s="13" t="str">
        <f aca="false">IF(L66="","",说明!$B$4-L66)</f>
        <v/>
      </c>
      <c r="N66" s="14"/>
      <c r="O66" s="15"/>
      <c r="P66" s="15"/>
      <c r="Q66" s="14"/>
      <c r="R66" s="13" t="str">
        <f aca="false">IF(AND(P66="",O66=""),"",IF(OR(N(P66)&gt;=说明!$B$5,N(O66)&gt;=说明!$B$6),"大型",IF(OR(N(P66)&gt;=说明!$B$7,N(O66)&gt;=说明!$B$8),"中型","小型")))</f>
        <v/>
      </c>
      <c r="S66" s="14"/>
      <c r="T66" s="13"/>
      <c r="U66" s="15"/>
      <c r="V66" s="15"/>
      <c r="W66" s="13"/>
      <c r="X66" s="14"/>
      <c r="Y66" s="14"/>
      <c r="Z66" s="16" t="s">
        <v>137</v>
      </c>
      <c r="AA66" s="13" t="s">
        <v>109</v>
      </c>
      <c r="AB66" s="14"/>
    </row>
    <row r="67" customFormat="false" ht="48" hidden="false" customHeight="true" outlineLevel="0" collapsed="false">
      <c r="A67" s="13" t="n">
        <v>66</v>
      </c>
      <c r="B67" s="13" t="s">
        <v>55</v>
      </c>
      <c r="C67" s="14" t="s">
        <v>394</v>
      </c>
      <c r="D67" s="13" t="s">
        <v>394</v>
      </c>
      <c r="E67" s="13" t="s">
        <v>37</v>
      </c>
      <c r="F67" s="13" t="s">
        <v>131</v>
      </c>
      <c r="G67" s="13" t="s">
        <v>134</v>
      </c>
      <c r="H67" s="13"/>
      <c r="I67" s="14" t="s">
        <v>395</v>
      </c>
      <c r="J67" s="15"/>
      <c r="K67" s="14"/>
      <c r="L67" s="15"/>
      <c r="M67" s="13" t="str">
        <f aca="false">IF(L67="","",说明!$B$4-L67)</f>
        <v/>
      </c>
      <c r="N67" s="14"/>
      <c r="O67" s="15"/>
      <c r="P67" s="15"/>
      <c r="Q67" s="14"/>
      <c r="R67" s="13" t="str">
        <f aca="false">IF(AND(P67="",O67=""),"",IF(OR(N(P67)&gt;=说明!$B$5,N(O67)&gt;=说明!$B$6),"大型",IF(OR(N(P67)&gt;=说明!$B$7,N(O67)&gt;=说明!$B$8),"中型","小型")))</f>
        <v/>
      </c>
      <c r="S67" s="14"/>
      <c r="T67" s="13"/>
      <c r="U67" s="15"/>
      <c r="V67" s="15"/>
      <c r="W67" s="13"/>
      <c r="X67" s="14"/>
      <c r="Y67" s="14"/>
      <c r="Z67" s="16" t="s">
        <v>137</v>
      </c>
      <c r="AA67" s="13" t="s">
        <v>109</v>
      </c>
      <c r="AB67" s="14"/>
    </row>
    <row r="68" customFormat="false" ht="48" hidden="false" customHeight="true" outlineLevel="0" collapsed="false">
      <c r="A68" s="13" t="n">
        <v>67</v>
      </c>
      <c r="B68" s="13" t="s">
        <v>55</v>
      </c>
      <c r="C68" s="14" t="s">
        <v>396</v>
      </c>
      <c r="D68" s="13" t="s">
        <v>396</v>
      </c>
      <c r="E68" s="13" t="s">
        <v>37</v>
      </c>
      <c r="F68" s="13" t="s">
        <v>131</v>
      </c>
      <c r="G68" s="13" t="s">
        <v>134</v>
      </c>
      <c r="H68" s="13"/>
      <c r="I68" s="14" t="s">
        <v>397</v>
      </c>
      <c r="J68" s="15"/>
      <c r="K68" s="14"/>
      <c r="L68" s="15"/>
      <c r="M68" s="13" t="str">
        <f aca="false">IF(L68="","",说明!$B$4-L68)</f>
        <v/>
      </c>
      <c r="N68" s="14"/>
      <c r="O68" s="15"/>
      <c r="P68" s="15"/>
      <c r="Q68" s="14"/>
      <c r="R68" s="13" t="str">
        <f aca="false">IF(AND(P68="",O68=""),"",IF(OR(N(P68)&gt;=说明!$B$5,N(O68)&gt;=说明!$B$6),"大型",IF(OR(N(P68)&gt;=说明!$B$7,N(O68)&gt;=说明!$B$8),"中型","小型")))</f>
        <v/>
      </c>
      <c r="S68" s="14"/>
      <c r="T68" s="13"/>
      <c r="U68" s="15"/>
      <c r="V68" s="15"/>
      <c r="W68" s="13"/>
      <c r="X68" s="14"/>
      <c r="Y68" s="14"/>
      <c r="Z68" s="16" t="s">
        <v>137</v>
      </c>
      <c r="AA68" s="13" t="s">
        <v>109</v>
      </c>
      <c r="AB68" s="14"/>
    </row>
    <row r="69" customFormat="false" ht="48" hidden="false" customHeight="true" outlineLevel="0" collapsed="false">
      <c r="A69" s="13" t="n">
        <v>68</v>
      </c>
      <c r="B69" s="13" t="s">
        <v>56</v>
      </c>
      <c r="C69" s="14" t="s">
        <v>398</v>
      </c>
      <c r="D69" s="13"/>
      <c r="E69" s="13" t="s">
        <v>40</v>
      </c>
      <c r="F69" s="13" t="s">
        <v>217</v>
      </c>
      <c r="G69" s="13" t="s">
        <v>98</v>
      </c>
      <c r="H69" s="13"/>
      <c r="I69" s="14"/>
      <c r="J69" s="15"/>
      <c r="K69" s="14"/>
      <c r="L69" s="15"/>
      <c r="M69" s="13" t="str">
        <f aca="false">IF(L69="","",说明!$B$4-L69)</f>
        <v/>
      </c>
      <c r="N69" s="14"/>
      <c r="O69" s="15"/>
      <c r="P69" s="15"/>
      <c r="Q69" s="14"/>
      <c r="R69" s="13" t="str">
        <f aca="false">IF(AND(P69="",O69=""),"",IF(OR(N(P69)&gt;=说明!$B$5,N(O69)&gt;=说明!$B$6),"大型",IF(OR(N(P69)&gt;=说明!$B$7,N(O69)&gt;=说明!$B$8),"中型","小型")))</f>
        <v/>
      </c>
      <c r="S69" s="14" t="s">
        <v>399</v>
      </c>
      <c r="T69" s="13"/>
      <c r="U69" s="15"/>
      <c r="V69" s="15"/>
      <c r="W69" s="13"/>
      <c r="X69" s="14"/>
      <c r="Y69" s="14"/>
      <c r="Z69" s="16" t="s">
        <v>400</v>
      </c>
      <c r="AA69" s="13" t="s">
        <v>109</v>
      </c>
      <c r="AB69" s="14"/>
    </row>
    <row r="70" customFormat="false" ht="48" hidden="false" customHeight="true" outlineLevel="0" collapsed="false">
      <c r="A70" s="13" t="n">
        <v>69</v>
      </c>
      <c r="B70" s="13" t="s">
        <v>57</v>
      </c>
      <c r="C70" s="14" t="s">
        <v>401</v>
      </c>
      <c r="D70" s="13"/>
      <c r="E70" s="13" t="s">
        <v>37</v>
      </c>
      <c r="F70" s="13" t="s">
        <v>97</v>
      </c>
      <c r="G70" s="13" t="s">
        <v>98</v>
      </c>
      <c r="H70" s="13"/>
      <c r="I70" s="14" t="s">
        <v>402</v>
      </c>
      <c r="J70" s="15"/>
      <c r="K70" s="14"/>
      <c r="L70" s="13" t="n">
        <v>2009</v>
      </c>
      <c r="M70" s="13" t="n">
        <f aca="false">IF(L70="","",说明!$B$4-L70)</f>
        <v>17</v>
      </c>
      <c r="N70" s="14" t="s">
        <v>403</v>
      </c>
      <c r="O70" s="15"/>
      <c r="P70" s="15"/>
      <c r="Q70" s="14" t="s">
        <v>404</v>
      </c>
      <c r="R70" s="13" t="str">
        <f aca="false">IF(AND(P70="",O70=""),"",IF(OR(N(P70)&gt;=说明!$B$5,N(O70)&gt;=说明!$B$6),"大型",IF(OR(N(P70)&gt;=说明!$B$7,N(O70)&gt;=说明!$B$8),"中型","小型")))</f>
        <v/>
      </c>
      <c r="S70" s="14" t="s">
        <v>405</v>
      </c>
      <c r="T70" s="13" t="s">
        <v>406</v>
      </c>
      <c r="U70" s="15"/>
      <c r="V70" s="15"/>
      <c r="W70" s="13"/>
      <c r="X70" s="14" t="s">
        <v>407</v>
      </c>
      <c r="Y70" s="14" t="s">
        <v>408</v>
      </c>
      <c r="Z70" s="16" t="s">
        <v>409</v>
      </c>
      <c r="AA70" s="13" t="s">
        <v>109</v>
      </c>
      <c r="AB70" s="14"/>
    </row>
    <row r="71" customFormat="false" ht="48" hidden="false" customHeight="true" outlineLevel="0" collapsed="false">
      <c r="A71" s="13" t="n">
        <v>70</v>
      </c>
      <c r="B71" s="13" t="s">
        <v>57</v>
      </c>
      <c r="C71" s="14" t="s">
        <v>410</v>
      </c>
      <c r="D71" s="13" t="s">
        <v>411</v>
      </c>
      <c r="E71" s="13" t="s">
        <v>37</v>
      </c>
      <c r="F71" s="13" t="s">
        <v>97</v>
      </c>
      <c r="G71" s="13" t="s">
        <v>98</v>
      </c>
      <c r="H71" s="13"/>
      <c r="I71" s="14" t="s">
        <v>412</v>
      </c>
      <c r="J71" s="15"/>
      <c r="K71" s="14"/>
      <c r="L71" s="13" t="n">
        <v>2013</v>
      </c>
      <c r="M71" s="13" t="n">
        <f aca="false">IF(L71="","",说明!$B$4-L71)</f>
        <v>13</v>
      </c>
      <c r="N71" s="14" t="s">
        <v>413</v>
      </c>
      <c r="O71" s="15"/>
      <c r="P71" s="15"/>
      <c r="Q71" s="14"/>
      <c r="R71" s="13" t="str">
        <f aca="false">IF(AND(P71="",O71=""),"",IF(OR(N(P71)&gt;=说明!$B$5,N(O71)&gt;=说明!$B$6),"大型",IF(OR(N(P71)&gt;=说明!$B$7,N(O71)&gt;=说明!$B$8),"中型","小型")))</f>
        <v/>
      </c>
      <c r="S71" s="14" t="s">
        <v>414</v>
      </c>
      <c r="T71" s="13"/>
      <c r="U71" s="15"/>
      <c r="V71" s="15"/>
      <c r="W71" s="13"/>
      <c r="X71" s="14"/>
      <c r="Y71" s="14"/>
      <c r="Z71" s="16" t="s">
        <v>415</v>
      </c>
      <c r="AA71" s="13" t="s">
        <v>118</v>
      </c>
      <c r="AB71" s="14" t="s">
        <v>416</v>
      </c>
    </row>
    <row r="72" customFormat="false" ht="48" hidden="false" customHeight="true" outlineLevel="0" collapsed="false">
      <c r="A72" s="13" t="n">
        <v>71</v>
      </c>
      <c r="B72" s="13" t="s">
        <v>57</v>
      </c>
      <c r="C72" s="14" t="s">
        <v>417</v>
      </c>
      <c r="D72" s="13" t="s">
        <v>418</v>
      </c>
      <c r="E72" s="13" t="s">
        <v>36</v>
      </c>
      <c r="F72" s="13" t="s">
        <v>97</v>
      </c>
      <c r="G72" s="13" t="s">
        <v>98</v>
      </c>
      <c r="H72" s="13"/>
      <c r="I72" s="14" t="s">
        <v>419</v>
      </c>
      <c r="J72" s="15"/>
      <c r="K72" s="14"/>
      <c r="L72" s="15"/>
      <c r="M72" s="13" t="str">
        <f aca="false">IF(L72="","",说明!$B$4-L72)</f>
        <v/>
      </c>
      <c r="N72" s="14" t="s">
        <v>420</v>
      </c>
      <c r="O72" s="15"/>
      <c r="P72" s="15"/>
      <c r="Q72" s="14" t="s">
        <v>421</v>
      </c>
      <c r="R72" s="13" t="str">
        <f aca="false">IF(AND(P72="",O72=""),"",IF(OR(N(P72)&gt;=说明!$B$5,N(O72)&gt;=说明!$B$6),"大型",IF(OR(N(P72)&gt;=说明!$B$7,N(O72)&gt;=说明!$B$8),"中型","小型")))</f>
        <v/>
      </c>
      <c r="S72" s="14"/>
      <c r="T72" s="13"/>
      <c r="U72" s="15"/>
      <c r="V72" s="15"/>
      <c r="W72" s="13"/>
      <c r="X72" s="14"/>
      <c r="Y72" s="14"/>
      <c r="Z72" s="16" t="s">
        <v>322</v>
      </c>
      <c r="AA72" s="13" t="s">
        <v>109</v>
      </c>
      <c r="AB72" s="14"/>
    </row>
    <row r="73" customFormat="false" ht="48" hidden="false" customHeight="true" outlineLevel="0" collapsed="false">
      <c r="A73" s="13" t="n">
        <v>72</v>
      </c>
      <c r="B73" s="13" t="s">
        <v>57</v>
      </c>
      <c r="C73" s="14" t="s">
        <v>422</v>
      </c>
      <c r="D73" s="13" t="s">
        <v>422</v>
      </c>
      <c r="E73" s="13" t="s">
        <v>36</v>
      </c>
      <c r="F73" s="13" t="s">
        <v>127</v>
      </c>
      <c r="G73" s="13" t="s">
        <v>134</v>
      </c>
      <c r="H73" s="13"/>
      <c r="I73" s="14" t="s">
        <v>423</v>
      </c>
      <c r="J73" s="15"/>
      <c r="K73" s="14"/>
      <c r="L73" s="15"/>
      <c r="M73" s="13" t="str">
        <f aca="false">IF(L73="","",说明!$B$4-L73)</f>
        <v/>
      </c>
      <c r="N73" s="14"/>
      <c r="O73" s="15"/>
      <c r="P73" s="15"/>
      <c r="Q73" s="14"/>
      <c r="R73" s="13" t="str">
        <f aca="false">IF(AND(P73="",O73=""),"",IF(OR(N(P73)&gt;=说明!$B$5,N(O73)&gt;=说明!$B$6),"大型",IF(OR(N(P73)&gt;=说明!$B$7,N(O73)&gt;=说明!$B$8),"中型","小型")))</f>
        <v/>
      </c>
      <c r="S73" s="14"/>
      <c r="T73" s="13"/>
      <c r="U73" s="15"/>
      <c r="V73" s="15"/>
      <c r="W73" s="13"/>
      <c r="X73" s="14"/>
      <c r="Y73" s="14"/>
      <c r="Z73" s="16" t="s">
        <v>137</v>
      </c>
      <c r="AA73" s="13" t="s">
        <v>109</v>
      </c>
      <c r="AB73" s="14"/>
    </row>
    <row r="74" customFormat="false" ht="48" hidden="false" customHeight="true" outlineLevel="0" collapsed="false">
      <c r="A74" s="13" t="n">
        <v>73</v>
      </c>
      <c r="B74" s="13" t="s">
        <v>57</v>
      </c>
      <c r="C74" s="14" t="s">
        <v>424</v>
      </c>
      <c r="D74" s="13" t="s">
        <v>424</v>
      </c>
      <c r="E74" s="13" t="s">
        <v>37</v>
      </c>
      <c r="F74" s="13" t="s">
        <v>131</v>
      </c>
      <c r="G74" s="13" t="s">
        <v>134</v>
      </c>
      <c r="H74" s="13"/>
      <c r="I74" s="14" t="s">
        <v>425</v>
      </c>
      <c r="J74" s="13" t="s">
        <v>426</v>
      </c>
      <c r="K74" s="14"/>
      <c r="L74" s="15"/>
      <c r="M74" s="13" t="str">
        <f aca="false">IF(L74="","",说明!$B$4-L74)</f>
        <v/>
      </c>
      <c r="N74" s="14"/>
      <c r="O74" s="15"/>
      <c r="P74" s="15"/>
      <c r="Q74" s="14"/>
      <c r="R74" s="13" t="str">
        <f aca="false">IF(AND(P74="",O74=""),"",IF(OR(N(P74)&gt;=说明!$B$5,N(O74)&gt;=说明!$B$6),"大型",IF(OR(N(P74)&gt;=说明!$B$7,N(O74)&gt;=说明!$B$8),"中型","小型")))</f>
        <v/>
      </c>
      <c r="S74" s="14"/>
      <c r="T74" s="13"/>
      <c r="U74" s="15"/>
      <c r="V74" s="15"/>
      <c r="W74" s="13"/>
      <c r="X74" s="14"/>
      <c r="Y74" s="14"/>
      <c r="Z74" s="16" t="s">
        <v>137</v>
      </c>
      <c r="AA74" s="13" t="s">
        <v>109</v>
      </c>
      <c r="AB74" s="14"/>
    </row>
    <row r="75" customFormat="false" ht="48" hidden="false" customHeight="true" outlineLevel="0" collapsed="false">
      <c r="A75" s="13" t="n">
        <v>74</v>
      </c>
      <c r="B75" s="13" t="s">
        <v>57</v>
      </c>
      <c r="C75" s="14" t="s">
        <v>427</v>
      </c>
      <c r="D75" s="13" t="s">
        <v>427</v>
      </c>
      <c r="E75" s="13" t="s">
        <v>37</v>
      </c>
      <c r="F75" s="13" t="s">
        <v>131</v>
      </c>
      <c r="G75" s="13" t="s">
        <v>134</v>
      </c>
      <c r="H75" s="13"/>
      <c r="I75" s="14" t="s">
        <v>428</v>
      </c>
      <c r="J75" s="15"/>
      <c r="K75" s="14"/>
      <c r="L75" s="15"/>
      <c r="M75" s="13" t="str">
        <f aca="false">IF(L75="","",说明!$B$4-L75)</f>
        <v/>
      </c>
      <c r="N75" s="14"/>
      <c r="O75" s="15"/>
      <c r="P75" s="15"/>
      <c r="Q75" s="14"/>
      <c r="R75" s="13" t="str">
        <f aca="false">IF(AND(P75="",O75=""),"",IF(OR(N(P75)&gt;=说明!$B$5,N(O75)&gt;=说明!$B$6),"大型",IF(OR(N(P75)&gt;=说明!$B$7,N(O75)&gt;=说明!$B$8),"中型","小型")))</f>
        <v/>
      </c>
      <c r="S75" s="14"/>
      <c r="T75" s="13"/>
      <c r="U75" s="15"/>
      <c r="V75" s="15"/>
      <c r="W75" s="13"/>
      <c r="X75" s="14"/>
      <c r="Y75" s="14"/>
      <c r="Z75" s="16" t="s">
        <v>137</v>
      </c>
      <c r="AA75" s="13" t="s">
        <v>109</v>
      </c>
      <c r="AB75" s="14"/>
    </row>
    <row r="76" customFormat="false" ht="48" hidden="false" customHeight="true" outlineLevel="0" collapsed="false">
      <c r="A76" s="13" t="n">
        <v>75</v>
      </c>
      <c r="B76" s="13" t="s">
        <v>58</v>
      </c>
      <c r="C76" s="14" t="s">
        <v>429</v>
      </c>
      <c r="D76" s="13"/>
      <c r="E76" s="13" t="s">
        <v>41</v>
      </c>
      <c r="F76" s="13" t="s">
        <v>97</v>
      </c>
      <c r="G76" s="13" t="s">
        <v>98</v>
      </c>
      <c r="H76" s="13"/>
      <c r="I76" s="14"/>
      <c r="J76" s="15"/>
      <c r="K76" s="14"/>
      <c r="L76" s="15"/>
      <c r="M76" s="13" t="str">
        <f aca="false">IF(L76="","",说明!$B$4-L76)</f>
        <v/>
      </c>
      <c r="N76" s="14"/>
      <c r="O76" s="15"/>
      <c r="P76" s="15"/>
      <c r="Q76" s="14"/>
      <c r="R76" s="13" t="str">
        <f aca="false">IF(AND(P76="",O76=""),"",IF(OR(N(P76)&gt;=说明!$B$5,N(O76)&gt;=说明!$B$6),"大型",IF(OR(N(P76)&gt;=说明!$B$7,N(O76)&gt;=说明!$B$8),"中型","小型")))</f>
        <v/>
      </c>
      <c r="S76" s="14" t="s">
        <v>430</v>
      </c>
      <c r="T76" s="13"/>
      <c r="U76" s="15"/>
      <c r="V76" s="15"/>
      <c r="W76" s="13"/>
      <c r="X76" s="14"/>
      <c r="Y76" s="14"/>
      <c r="Z76" s="16" t="s">
        <v>431</v>
      </c>
      <c r="AA76" s="13" t="s">
        <v>118</v>
      </c>
      <c r="AB76" s="14" t="s">
        <v>432</v>
      </c>
    </row>
    <row r="77" customFormat="false" ht="48" hidden="false" customHeight="true" outlineLevel="0" collapsed="false">
      <c r="A77" s="13" t="n">
        <v>76</v>
      </c>
      <c r="B77" s="13" t="s">
        <v>58</v>
      </c>
      <c r="C77" s="14" t="s">
        <v>433</v>
      </c>
      <c r="D77" s="13" t="s">
        <v>434</v>
      </c>
      <c r="E77" s="13" t="s">
        <v>40</v>
      </c>
      <c r="F77" s="13" t="s">
        <v>217</v>
      </c>
      <c r="G77" s="13" t="s">
        <v>170</v>
      </c>
      <c r="H77" s="13"/>
      <c r="I77" s="14" t="s">
        <v>435</v>
      </c>
      <c r="J77" s="15"/>
      <c r="K77" s="14"/>
      <c r="L77" s="15"/>
      <c r="M77" s="13" t="str">
        <f aca="false">IF(L77="","",说明!$B$4-L77)</f>
        <v/>
      </c>
      <c r="N77" s="14" t="s">
        <v>436</v>
      </c>
      <c r="O77" s="13" t="n">
        <v>16</v>
      </c>
      <c r="P77" s="15"/>
      <c r="Q77" s="14" t="s">
        <v>437</v>
      </c>
      <c r="R77" s="13" t="str">
        <f aca="false">IF(AND(P77="",O77=""),"",IF(OR(N(P77)&gt;=说明!$B$5,N(O77)&gt;=说明!$B$6),"大型",IF(OR(N(P77)&gt;=说明!$B$7,N(O77)&gt;=说明!$B$8),"中型","小型")))</f>
        <v>中型</v>
      </c>
      <c r="S77" s="14" t="s">
        <v>438</v>
      </c>
      <c r="T77" s="13" t="s">
        <v>439</v>
      </c>
      <c r="U77" s="15"/>
      <c r="V77" s="15"/>
      <c r="W77" s="13"/>
      <c r="X77" s="14"/>
      <c r="Y77" s="14" t="s">
        <v>440</v>
      </c>
      <c r="Z77" s="16" t="s">
        <v>441</v>
      </c>
      <c r="AA77" s="13" t="s">
        <v>362</v>
      </c>
      <c r="AB77" s="14" t="s">
        <v>442</v>
      </c>
    </row>
    <row r="78" customFormat="false" ht="48" hidden="false" customHeight="true" outlineLevel="0" collapsed="false">
      <c r="A78" s="13" t="n">
        <v>77</v>
      </c>
      <c r="B78" s="13" t="s">
        <v>58</v>
      </c>
      <c r="C78" s="14" t="s">
        <v>443</v>
      </c>
      <c r="D78" s="13"/>
      <c r="E78" s="13" t="s">
        <v>40</v>
      </c>
      <c r="F78" s="13" t="s">
        <v>217</v>
      </c>
      <c r="G78" s="13" t="s">
        <v>98</v>
      </c>
      <c r="H78" s="13"/>
      <c r="I78" s="14"/>
      <c r="J78" s="15"/>
      <c r="K78" s="14"/>
      <c r="L78" s="15"/>
      <c r="M78" s="13" t="str">
        <f aca="false">IF(L78="","",说明!$B$4-L78)</f>
        <v/>
      </c>
      <c r="N78" s="14"/>
      <c r="O78" s="15"/>
      <c r="P78" s="15"/>
      <c r="Q78" s="14"/>
      <c r="R78" s="13" t="str">
        <f aca="false">IF(AND(P78="",O78=""),"",IF(OR(N(P78)&gt;=说明!$B$5,N(O78)&gt;=说明!$B$6),"大型",IF(OR(N(P78)&gt;=说明!$B$7,N(O78)&gt;=说明!$B$8),"中型","小型")))</f>
        <v/>
      </c>
      <c r="S78" s="14" t="s">
        <v>444</v>
      </c>
      <c r="T78" s="13"/>
      <c r="U78" s="15"/>
      <c r="V78" s="15"/>
      <c r="W78" s="13"/>
      <c r="X78" s="14"/>
      <c r="Y78" s="14"/>
      <c r="Z78" s="16" t="s">
        <v>445</v>
      </c>
      <c r="AA78" s="13" t="s">
        <v>118</v>
      </c>
      <c r="AB78" s="14"/>
    </row>
    <row r="79" customFormat="false" ht="48" hidden="false" customHeight="true" outlineLevel="0" collapsed="false">
      <c r="A79" s="13" t="n">
        <v>78</v>
      </c>
      <c r="B79" s="13" t="s">
        <v>58</v>
      </c>
      <c r="C79" s="14" t="s">
        <v>446</v>
      </c>
      <c r="D79" s="13" t="s">
        <v>446</v>
      </c>
      <c r="E79" s="13" t="s">
        <v>37</v>
      </c>
      <c r="F79" s="13" t="s">
        <v>131</v>
      </c>
      <c r="G79" s="13" t="s">
        <v>128</v>
      </c>
      <c r="H79" s="13"/>
      <c r="I79" s="14"/>
      <c r="J79" s="15"/>
      <c r="K79" s="14"/>
      <c r="L79" s="15"/>
      <c r="M79" s="13" t="str">
        <f aca="false">IF(L79="","",说明!$B$4-L79)</f>
        <v/>
      </c>
      <c r="N79" s="14"/>
      <c r="O79" s="15"/>
      <c r="P79" s="15"/>
      <c r="Q79" s="14"/>
      <c r="R79" s="13" t="str">
        <f aca="false">IF(AND(P79="",O79=""),"",IF(OR(N(P79)&gt;=说明!$B$5,N(O79)&gt;=说明!$B$6),"大型",IF(OR(N(P79)&gt;=说明!$B$7,N(O79)&gt;=说明!$B$8),"中型","小型")))</f>
        <v/>
      </c>
      <c r="S79" s="14"/>
      <c r="T79" s="13"/>
      <c r="U79" s="15"/>
      <c r="V79" s="15"/>
      <c r="W79" s="13"/>
      <c r="X79" s="14"/>
      <c r="Y79" s="14"/>
      <c r="Z79" s="16" t="s">
        <v>447</v>
      </c>
      <c r="AA79" s="13" t="s">
        <v>118</v>
      </c>
      <c r="AB79" s="14"/>
    </row>
    <row r="80" customFormat="false" ht="48" hidden="false" customHeight="true" outlineLevel="0" collapsed="false">
      <c r="A80" s="13" t="n">
        <v>79</v>
      </c>
      <c r="B80" s="13" t="s">
        <v>58</v>
      </c>
      <c r="C80" s="14" t="s">
        <v>448</v>
      </c>
      <c r="D80" s="13" t="s">
        <v>449</v>
      </c>
      <c r="E80" s="13" t="s">
        <v>37</v>
      </c>
      <c r="F80" s="13" t="s">
        <v>131</v>
      </c>
      <c r="G80" s="13" t="s">
        <v>134</v>
      </c>
      <c r="H80" s="13"/>
      <c r="I80" s="14" t="s">
        <v>450</v>
      </c>
      <c r="J80" s="15"/>
      <c r="K80" s="14"/>
      <c r="L80" s="15"/>
      <c r="M80" s="13" t="str">
        <f aca="false">IF(L80="","",说明!$B$4-L80)</f>
        <v/>
      </c>
      <c r="N80" s="14"/>
      <c r="O80" s="15"/>
      <c r="P80" s="15"/>
      <c r="Q80" s="14"/>
      <c r="R80" s="13" t="str">
        <f aca="false">IF(AND(P80="",O80=""),"",IF(OR(N(P80)&gt;=说明!$B$5,N(O80)&gt;=说明!$B$6),"大型",IF(OR(N(P80)&gt;=说明!$B$7,N(O80)&gt;=说明!$B$8),"中型","小型")))</f>
        <v/>
      </c>
      <c r="S80" s="14"/>
      <c r="T80" s="13"/>
      <c r="U80" s="15"/>
      <c r="V80" s="15"/>
      <c r="W80" s="13"/>
      <c r="X80" s="14"/>
      <c r="Y80" s="14"/>
      <c r="Z80" s="16" t="s">
        <v>137</v>
      </c>
      <c r="AA80" s="13" t="s">
        <v>109</v>
      </c>
      <c r="AB80" s="14"/>
    </row>
    <row r="81" customFormat="false" ht="48" hidden="false" customHeight="true" outlineLevel="0" collapsed="false">
      <c r="A81" s="13" t="n">
        <v>80</v>
      </c>
      <c r="B81" s="13" t="s">
        <v>58</v>
      </c>
      <c r="C81" s="14" t="s">
        <v>451</v>
      </c>
      <c r="D81" s="13" t="s">
        <v>452</v>
      </c>
      <c r="E81" s="13" t="s">
        <v>42</v>
      </c>
      <c r="F81" s="13" t="s">
        <v>131</v>
      </c>
      <c r="G81" s="13" t="s">
        <v>325</v>
      </c>
      <c r="H81" s="13"/>
      <c r="I81" s="14" t="s">
        <v>453</v>
      </c>
      <c r="J81" s="15"/>
      <c r="K81" s="14"/>
      <c r="L81" s="15"/>
      <c r="M81" s="13" t="str">
        <f aca="false">IF(L81="","",说明!$B$4-L81)</f>
        <v/>
      </c>
      <c r="N81" s="14"/>
      <c r="O81" s="15"/>
      <c r="P81" s="15"/>
      <c r="Q81" s="14"/>
      <c r="R81" s="13" t="str">
        <f aca="false">IF(AND(P81="",O81=""),"",IF(OR(N(P81)&gt;=说明!$B$5,N(O81)&gt;=说明!$B$6),"大型",IF(OR(N(P81)&gt;=说明!$B$7,N(O81)&gt;=说明!$B$8),"中型","小型")))</f>
        <v/>
      </c>
      <c r="S81" s="14"/>
      <c r="T81" s="13"/>
      <c r="U81" s="15"/>
      <c r="V81" s="15"/>
      <c r="W81" s="13"/>
      <c r="X81" s="14"/>
      <c r="Y81" s="14"/>
      <c r="Z81" s="16" t="s">
        <v>137</v>
      </c>
      <c r="AA81" s="13" t="s">
        <v>109</v>
      </c>
      <c r="AB81" s="14" t="s">
        <v>454</v>
      </c>
    </row>
    <row r="82" customFormat="false" ht="48" hidden="false" customHeight="true" outlineLevel="0" collapsed="false">
      <c r="A82" s="13" t="n">
        <v>81</v>
      </c>
      <c r="B82" s="13" t="s">
        <v>58</v>
      </c>
      <c r="C82" s="14" t="s">
        <v>455</v>
      </c>
      <c r="D82" s="13" t="s">
        <v>456</v>
      </c>
      <c r="E82" s="13" t="s">
        <v>40</v>
      </c>
      <c r="F82" s="13" t="s">
        <v>131</v>
      </c>
      <c r="G82" s="13" t="s">
        <v>128</v>
      </c>
      <c r="H82" s="13"/>
      <c r="I82" s="14"/>
      <c r="J82" s="15"/>
      <c r="K82" s="14"/>
      <c r="L82" s="15"/>
      <c r="M82" s="13" t="str">
        <f aca="false">IF(L82="","",说明!$B$4-L82)</f>
        <v/>
      </c>
      <c r="N82" s="14"/>
      <c r="O82" s="15"/>
      <c r="P82" s="15"/>
      <c r="Q82" s="14"/>
      <c r="R82" s="13" t="str">
        <f aca="false">IF(AND(P82="",O82=""),"",IF(OR(N(P82)&gt;=说明!$B$5,N(O82)&gt;=说明!$B$6),"大型",IF(OR(N(P82)&gt;=说明!$B$7,N(O82)&gt;=说明!$B$8),"中型","小型")))</f>
        <v/>
      </c>
      <c r="S82" s="14"/>
      <c r="T82" s="13"/>
      <c r="U82" s="15"/>
      <c r="V82" s="15"/>
      <c r="W82" s="13"/>
      <c r="X82" s="14"/>
      <c r="Y82" s="14"/>
      <c r="Z82" s="16" t="s">
        <v>457</v>
      </c>
      <c r="AA82" s="13" t="s">
        <v>118</v>
      </c>
      <c r="AB82" s="14"/>
    </row>
    <row r="83" customFormat="false" ht="48" hidden="false" customHeight="true" outlineLevel="0" collapsed="false">
      <c r="A83" s="13" t="n">
        <v>82</v>
      </c>
      <c r="B83" s="13" t="s">
        <v>59</v>
      </c>
      <c r="C83" s="14" t="s">
        <v>458</v>
      </c>
      <c r="D83" s="13"/>
      <c r="E83" s="13" t="s">
        <v>37</v>
      </c>
      <c r="F83" s="13" t="s">
        <v>97</v>
      </c>
      <c r="G83" s="13" t="s">
        <v>98</v>
      </c>
      <c r="H83" s="13"/>
      <c r="I83" s="14"/>
      <c r="J83" s="15"/>
      <c r="K83" s="14"/>
      <c r="L83" s="15"/>
      <c r="M83" s="13" t="str">
        <f aca="false">IF(L83="","",说明!$B$4-L83)</f>
        <v/>
      </c>
      <c r="N83" s="14"/>
      <c r="O83" s="15"/>
      <c r="P83" s="15"/>
      <c r="Q83" s="14"/>
      <c r="R83" s="13" t="str">
        <f aca="false">IF(AND(P83="",O83=""),"",IF(OR(N(P83)&gt;=说明!$B$5,N(O83)&gt;=说明!$B$6),"大型",IF(OR(N(P83)&gt;=说明!$B$7,N(O83)&gt;=说明!$B$8),"中型","小型")))</f>
        <v/>
      </c>
      <c r="S83" s="14"/>
      <c r="T83" s="13"/>
      <c r="U83" s="15"/>
      <c r="V83" s="15"/>
      <c r="W83" s="13"/>
      <c r="X83" s="14"/>
      <c r="Y83" s="14" t="s">
        <v>459</v>
      </c>
      <c r="Z83" s="16" t="s">
        <v>460</v>
      </c>
      <c r="AA83" s="13" t="s">
        <v>109</v>
      </c>
      <c r="AB83" s="14"/>
    </row>
    <row r="84" customFormat="false" ht="48" hidden="false" customHeight="true" outlineLevel="0" collapsed="false">
      <c r="A84" s="13" t="n">
        <v>83</v>
      </c>
      <c r="B84" s="13" t="s">
        <v>59</v>
      </c>
      <c r="C84" s="14" t="s">
        <v>461</v>
      </c>
      <c r="D84" s="13" t="s">
        <v>462</v>
      </c>
      <c r="E84" s="13" t="s">
        <v>41</v>
      </c>
      <c r="F84" s="13" t="s">
        <v>97</v>
      </c>
      <c r="G84" s="13" t="s">
        <v>98</v>
      </c>
      <c r="H84" s="13"/>
      <c r="I84" s="14" t="s">
        <v>463</v>
      </c>
      <c r="J84" s="15"/>
      <c r="K84" s="14"/>
      <c r="L84" s="15"/>
      <c r="M84" s="13" t="str">
        <f aca="false">IF(L84="","",说明!$B$4-L84)</f>
        <v/>
      </c>
      <c r="N84" s="14" t="s">
        <v>464</v>
      </c>
      <c r="O84" s="15"/>
      <c r="P84" s="15"/>
      <c r="Q84" s="14" t="s">
        <v>465</v>
      </c>
      <c r="R84" s="13" t="str">
        <f aca="false">IF(AND(P84="",O84=""),"",IF(OR(N(P84)&gt;=说明!$B$5,N(O84)&gt;=说明!$B$6),"大型",IF(OR(N(P84)&gt;=说明!$B$7,N(O84)&gt;=说明!$B$8),"中型","小型")))</f>
        <v/>
      </c>
      <c r="S84" s="14" t="s">
        <v>466</v>
      </c>
      <c r="T84" s="13"/>
      <c r="U84" s="15"/>
      <c r="V84" s="15"/>
      <c r="W84" s="13"/>
      <c r="X84" s="14"/>
      <c r="Y84" s="14" t="s">
        <v>467</v>
      </c>
      <c r="Z84" s="16" t="s">
        <v>468</v>
      </c>
      <c r="AA84" s="13" t="s">
        <v>109</v>
      </c>
      <c r="AB84" s="14" t="s">
        <v>469</v>
      </c>
    </row>
    <row r="85" customFormat="false" ht="48" hidden="false" customHeight="true" outlineLevel="0" collapsed="false">
      <c r="A85" s="13" t="n">
        <v>84</v>
      </c>
      <c r="B85" s="13" t="s">
        <v>59</v>
      </c>
      <c r="C85" s="14" t="s">
        <v>470</v>
      </c>
      <c r="D85" s="13"/>
      <c r="E85" s="13" t="s">
        <v>40</v>
      </c>
      <c r="F85" s="13" t="s">
        <v>217</v>
      </c>
      <c r="G85" s="13" t="s">
        <v>98</v>
      </c>
      <c r="H85" s="13"/>
      <c r="I85" s="14"/>
      <c r="J85" s="15"/>
      <c r="K85" s="14"/>
      <c r="L85" s="15"/>
      <c r="M85" s="13" t="str">
        <f aca="false">IF(L85="","",说明!$B$4-L85)</f>
        <v/>
      </c>
      <c r="N85" s="14"/>
      <c r="O85" s="15"/>
      <c r="P85" s="15"/>
      <c r="Q85" s="14"/>
      <c r="R85" s="13" t="str">
        <f aca="false">IF(AND(P85="",O85=""),"",IF(OR(N(P85)&gt;=说明!$B$5,N(O85)&gt;=说明!$B$6),"大型",IF(OR(N(P85)&gt;=说明!$B$7,N(O85)&gt;=说明!$B$8),"中型","小型")))</f>
        <v/>
      </c>
      <c r="S85" s="14" t="s">
        <v>471</v>
      </c>
      <c r="T85" s="13"/>
      <c r="U85" s="15"/>
      <c r="V85" s="15"/>
      <c r="W85" s="13"/>
      <c r="X85" s="14"/>
      <c r="Y85" s="14"/>
      <c r="Z85" s="16" t="s">
        <v>472</v>
      </c>
      <c r="AA85" s="13" t="s">
        <v>118</v>
      </c>
      <c r="AB85" s="14" t="s">
        <v>473</v>
      </c>
    </row>
    <row r="86" customFormat="false" ht="48" hidden="false" customHeight="true" outlineLevel="0" collapsed="false">
      <c r="A86" s="13" t="n">
        <v>85</v>
      </c>
      <c r="B86" s="13" t="s">
        <v>59</v>
      </c>
      <c r="C86" s="14" t="s">
        <v>474</v>
      </c>
      <c r="D86" s="13" t="s">
        <v>255</v>
      </c>
      <c r="E86" s="13" t="s">
        <v>36</v>
      </c>
      <c r="F86" s="13" t="s">
        <v>127</v>
      </c>
      <c r="G86" s="13" t="s">
        <v>134</v>
      </c>
      <c r="H86" s="13"/>
      <c r="I86" s="14" t="s">
        <v>475</v>
      </c>
      <c r="J86" s="15"/>
      <c r="K86" s="14"/>
      <c r="L86" s="15"/>
      <c r="M86" s="13" t="str">
        <f aca="false">IF(L86="","",说明!$B$4-L86)</f>
        <v/>
      </c>
      <c r="N86" s="14"/>
      <c r="O86" s="15"/>
      <c r="P86" s="15"/>
      <c r="Q86" s="14"/>
      <c r="R86" s="13" t="str">
        <f aca="false">IF(AND(P86="",O86=""),"",IF(OR(N(P86)&gt;=说明!$B$5,N(O86)&gt;=说明!$B$6),"大型",IF(OR(N(P86)&gt;=说明!$B$7,N(O86)&gt;=说明!$B$8),"中型","小型")))</f>
        <v/>
      </c>
      <c r="S86" s="14"/>
      <c r="T86" s="13"/>
      <c r="U86" s="15"/>
      <c r="V86" s="15"/>
      <c r="W86" s="13"/>
      <c r="X86" s="14"/>
      <c r="Y86" s="14"/>
      <c r="Z86" s="16" t="s">
        <v>137</v>
      </c>
      <c r="AA86" s="13" t="s">
        <v>109</v>
      </c>
      <c r="AB86" s="14"/>
    </row>
    <row r="87" customFormat="false" ht="48" hidden="false" customHeight="true" outlineLevel="0" collapsed="false">
      <c r="A87" s="13" t="n">
        <v>86</v>
      </c>
      <c r="B87" s="13" t="s">
        <v>59</v>
      </c>
      <c r="C87" s="14" t="s">
        <v>476</v>
      </c>
      <c r="D87" s="13" t="s">
        <v>476</v>
      </c>
      <c r="E87" s="13" t="s">
        <v>37</v>
      </c>
      <c r="F87" s="13" t="s">
        <v>131</v>
      </c>
      <c r="G87" s="13" t="s">
        <v>134</v>
      </c>
      <c r="H87" s="13"/>
      <c r="I87" s="14" t="s">
        <v>477</v>
      </c>
      <c r="J87" s="13" t="s">
        <v>478</v>
      </c>
      <c r="K87" s="14"/>
      <c r="L87" s="15"/>
      <c r="M87" s="13" t="str">
        <f aca="false">IF(L87="","",说明!$B$4-L87)</f>
        <v/>
      </c>
      <c r="N87" s="14"/>
      <c r="O87" s="15"/>
      <c r="P87" s="15"/>
      <c r="Q87" s="14"/>
      <c r="R87" s="13" t="str">
        <f aca="false">IF(AND(P87="",O87=""),"",IF(OR(N(P87)&gt;=说明!$B$5,N(O87)&gt;=说明!$B$6),"大型",IF(OR(N(P87)&gt;=说明!$B$7,N(O87)&gt;=说明!$B$8),"中型","小型")))</f>
        <v/>
      </c>
      <c r="S87" s="14"/>
      <c r="T87" s="13"/>
      <c r="U87" s="15"/>
      <c r="V87" s="15"/>
      <c r="W87" s="13"/>
      <c r="X87" s="14"/>
      <c r="Y87" s="14"/>
      <c r="Z87" s="16" t="s">
        <v>137</v>
      </c>
      <c r="AA87" s="13" t="s">
        <v>109</v>
      </c>
      <c r="AB87" s="14"/>
    </row>
    <row r="88" customFormat="false" ht="48" hidden="false" customHeight="true" outlineLevel="0" collapsed="false">
      <c r="A88" s="13" t="n">
        <v>87</v>
      </c>
      <c r="B88" s="13" t="s">
        <v>59</v>
      </c>
      <c r="C88" s="14" t="s">
        <v>479</v>
      </c>
      <c r="D88" s="13" t="s">
        <v>140</v>
      </c>
      <c r="E88" s="13" t="s">
        <v>37</v>
      </c>
      <c r="F88" s="13" t="s">
        <v>131</v>
      </c>
      <c r="G88" s="13" t="s">
        <v>134</v>
      </c>
      <c r="H88" s="13"/>
      <c r="I88" s="14" t="s">
        <v>480</v>
      </c>
      <c r="J88" s="15"/>
      <c r="K88" s="14"/>
      <c r="L88" s="15"/>
      <c r="M88" s="13" t="str">
        <f aca="false">IF(L88="","",说明!$B$4-L88)</f>
        <v/>
      </c>
      <c r="N88" s="14"/>
      <c r="O88" s="15"/>
      <c r="P88" s="15"/>
      <c r="Q88" s="14" t="s">
        <v>143</v>
      </c>
      <c r="R88" s="13" t="str">
        <f aca="false">IF(AND(P88="",O88=""),"",IF(OR(N(P88)&gt;=说明!$B$5,N(O88)&gt;=说明!$B$6),"大型",IF(OR(N(P88)&gt;=说明!$B$7,N(O88)&gt;=说明!$B$8),"中型","小型")))</f>
        <v/>
      </c>
      <c r="S88" s="14"/>
      <c r="T88" s="13"/>
      <c r="U88" s="15"/>
      <c r="V88" s="15"/>
      <c r="W88" s="13"/>
      <c r="X88" s="14"/>
      <c r="Y88" s="14"/>
      <c r="Z88" s="16" t="s">
        <v>481</v>
      </c>
      <c r="AA88" s="13" t="s">
        <v>109</v>
      </c>
      <c r="AB88" s="14" t="s">
        <v>147</v>
      </c>
    </row>
    <row r="89" customFormat="false" ht="48" hidden="false" customHeight="true" outlineLevel="0" collapsed="false">
      <c r="A89" s="13" t="n">
        <v>88</v>
      </c>
      <c r="B89" s="13" t="s">
        <v>59</v>
      </c>
      <c r="C89" s="14" t="s">
        <v>482</v>
      </c>
      <c r="D89" s="13" t="s">
        <v>483</v>
      </c>
      <c r="E89" s="13" t="s">
        <v>37</v>
      </c>
      <c r="F89" s="13" t="s">
        <v>131</v>
      </c>
      <c r="G89" s="13" t="s">
        <v>128</v>
      </c>
      <c r="H89" s="13"/>
      <c r="I89" s="14"/>
      <c r="J89" s="15"/>
      <c r="K89" s="14"/>
      <c r="L89" s="15"/>
      <c r="M89" s="13" t="str">
        <f aca="false">IF(L89="","",说明!$B$4-L89)</f>
        <v/>
      </c>
      <c r="N89" s="14"/>
      <c r="O89" s="15"/>
      <c r="P89" s="15"/>
      <c r="Q89" s="14"/>
      <c r="R89" s="13" t="str">
        <f aca="false">IF(AND(P89="",O89=""),"",IF(OR(N(P89)&gt;=说明!$B$5,N(O89)&gt;=说明!$B$6),"大型",IF(OR(N(P89)&gt;=说明!$B$7,N(O89)&gt;=说明!$B$8),"中型","小型")))</f>
        <v/>
      </c>
      <c r="S89" s="14"/>
      <c r="T89" s="13"/>
      <c r="U89" s="15"/>
      <c r="V89" s="15"/>
      <c r="W89" s="13"/>
      <c r="X89" s="14"/>
      <c r="Y89" s="14"/>
      <c r="Z89" s="16" t="s">
        <v>484</v>
      </c>
      <c r="AA89" s="13" t="s">
        <v>118</v>
      </c>
      <c r="AB89" s="14"/>
    </row>
    <row r="90" customFormat="false" ht="48" hidden="false" customHeight="true" outlineLevel="0" collapsed="false">
      <c r="A90" s="13" t="n">
        <v>89</v>
      </c>
      <c r="B90" s="13" t="s">
        <v>59</v>
      </c>
      <c r="C90" s="14" t="s">
        <v>485</v>
      </c>
      <c r="D90" s="13" t="s">
        <v>486</v>
      </c>
      <c r="E90" s="13" t="s">
        <v>37</v>
      </c>
      <c r="F90" s="13" t="s">
        <v>131</v>
      </c>
      <c r="G90" s="13" t="s">
        <v>128</v>
      </c>
      <c r="H90" s="13"/>
      <c r="I90" s="14"/>
      <c r="J90" s="15"/>
      <c r="K90" s="14"/>
      <c r="L90" s="15"/>
      <c r="M90" s="13" t="str">
        <f aca="false">IF(L90="","",说明!$B$4-L90)</f>
        <v/>
      </c>
      <c r="N90" s="14"/>
      <c r="O90" s="15"/>
      <c r="P90" s="15"/>
      <c r="Q90" s="14"/>
      <c r="R90" s="13" t="str">
        <f aca="false">IF(AND(P90="",O90=""),"",IF(OR(N(P90)&gt;=说明!$B$5,N(O90)&gt;=说明!$B$6),"大型",IF(OR(N(P90)&gt;=说明!$B$7,N(O90)&gt;=说明!$B$8),"中型","小型")))</f>
        <v/>
      </c>
      <c r="S90" s="14"/>
      <c r="T90" s="13"/>
      <c r="U90" s="15"/>
      <c r="V90" s="15"/>
      <c r="W90" s="13"/>
      <c r="X90" s="14"/>
      <c r="Y90" s="14"/>
      <c r="Z90" s="16" t="s">
        <v>487</v>
      </c>
      <c r="AA90" s="13" t="s">
        <v>118</v>
      </c>
      <c r="AB90" s="14"/>
    </row>
    <row r="91" customFormat="false" ht="48" hidden="false" customHeight="true" outlineLevel="0" collapsed="false">
      <c r="A91" s="13" t="n">
        <v>90</v>
      </c>
      <c r="B91" s="13" t="s">
        <v>59</v>
      </c>
      <c r="C91" s="14" t="s">
        <v>488</v>
      </c>
      <c r="D91" s="13" t="s">
        <v>489</v>
      </c>
      <c r="E91" s="13" t="s">
        <v>37</v>
      </c>
      <c r="F91" s="13" t="s">
        <v>131</v>
      </c>
      <c r="G91" s="13" t="s">
        <v>128</v>
      </c>
      <c r="H91" s="13"/>
      <c r="I91" s="14"/>
      <c r="J91" s="15"/>
      <c r="K91" s="14"/>
      <c r="L91" s="15"/>
      <c r="M91" s="13" t="str">
        <f aca="false">IF(L91="","",说明!$B$4-L91)</f>
        <v/>
      </c>
      <c r="N91" s="14"/>
      <c r="O91" s="15"/>
      <c r="P91" s="15"/>
      <c r="Q91" s="14"/>
      <c r="R91" s="13" t="str">
        <f aca="false">IF(AND(P91="",O91=""),"",IF(OR(N(P91)&gt;=说明!$B$5,N(O91)&gt;=说明!$B$6),"大型",IF(OR(N(P91)&gt;=说明!$B$7,N(O91)&gt;=说明!$B$8),"中型","小型")))</f>
        <v/>
      </c>
      <c r="S91" s="14"/>
      <c r="T91" s="13"/>
      <c r="U91" s="15"/>
      <c r="V91" s="15"/>
      <c r="W91" s="13"/>
      <c r="X91" s="14"/>
      <c r="Y91" s="14"/>
      <c r="Z91" s="16" t="s">
        <v>490</v>
      </c>
      <c r="AA91" s="13" t="s">
        <v>118</v>
      </c>
      <c r="AB91" s="14"/>
    </row>
    <row r="92" customFormat="false" ht="48" hidden="false" customHeight="true" outlineLevel="0" collapsed="false">
      <c r="A92" s="13" t="n">
        <v>91</v>
      </c>
      <c r="B92" s="13" t="s">
        <v>59</v>
      </c>
      <c r="C92" s="14" t="s">
        <v>491</v>
      </c>
      <c r="D92" s="13" t="s">
        <v>491</v>
      </c>
      <c r="E92" s="13" t="s">
        <v>37</v>
      </c>
      <c r="F92" s="13" t="s">
        <v>131</v>
      </c>
      <c r="G92" s="13" t="s">
        <v>134</v>
      </c>
      <c r="H92" s="13"/>
      <c r="I92" s="14" t="s">
        <v>492</v>
      </c>
      <c r="J92" s="15"/>
      <c r="K92" s="14"/>
      <c r="L92" s="15"/>
      <c r="M92" s="13" t="str">
        <f aca="false">IF(L92="","",说明!$B$4-L92)</f>
        <v/>
      </c>
      <c r="N92" s="14"/>
      <c r="O92" s="15"/>
      <c r="P92" s="15"/>
      <c r="Q92" s="14"/>
      <c r="R92" s="13" t="str">
        <f aca="false">IF(AND(P92="",O92=""),"",IF(OR(N(P92)&gt;=说明!$B$5,N(O92)&gt;=说明!$B$6),"大型",IF(OR(N(P92)&gt;=说明!$B$7,N(O92)&gt;=说明!$B$8),"中型","小型")))</f>
        <v/>
      </c>
      <c r="S92" s="14"/>
      <c r="T92" s="13"/>
      <c r="U92" s="15"/>
      <c r="V92" s="15"/>
      <c r="W92" s="13"/>
      <c r="X92" s="14"/>
      <c r="Y92" s="14"/>
      <c r="Z92" s="16" t="s">
        <v>137</v>
      </c>
      <c r="AA92" s="13" t="s">
        <v>109</v>
      </c>
      <c r="AB92" s="14"/>
    </row>
    <row r="93" customFormat="false" ht="48" hidden="false" customHeight="true" outlineLevel="0" collapsed="false">
      <c r="A93" s="13" t="n">
        <v>92</v>
      </c>
      <c r="B93" s="13" t="s">
        <v>59</v>
      </c>
      <c r="C93" s="14" t="s">
        <v>493</v>
      </c>
      <c r="D93" s="13" t="s">
        <v>335</v>
      </c>
      <c r="E93" s="13" t="s">
        <v>42</v>
      </c>
      <c r="F93" s="13" t="s">
        <v>142</v>
      </c>
      <c r="G93" s="13" t="s">
        <v>98</v>
      </c>
      <c r="H93" s="13"/>
      <c r="I93" s="14" t="s">
        <v>494</v>
      </c>
      <c r="J93" s="15"/>
      <c r="K93" s="14"/>
      <c r="L93" s="15"/>
      <c r="M93" s="13" t="str">
        <f aca="false">IF(L93="","",说明!$B$4-L93)</f>
        <v/>
      </c>
      <c r="N93" s="14"/>
      <c r="O93" s="15"/>
      <c r="P93" s="15"/>
      <c r="Q93" s="14"/>
      <c r="R93" s="13" t="str">
        <f aca="false">IF(AND(P93="",O93=""),"",IF(OR(N(P93)&gt;=说明!$B$5,N(O93)&gt;=说明!$B$6),"大型",IF(OR(N(P93)&gt;=说明!$B$7,N(O93)&gt;=说明!$B$8),"中型","小型")))</f>
        <v/>
      </c>
      <c r="S93" s="14"/>
      <c r="T93" s="13"/>
      <c r="U93" s="15"/>
      <c r="V93" s="15"/>
      <c r="W93" s="13"/>
      <c r="X93" s="14"/>
      <c r="Y93" s="14"/>
      <c r="Z93" s="16" t="s">
        <v>495</v>
      </c>
      <c r="AA93" s="13" t="s">
        <v>118</v>
      </c>
      <c r="AB93" s="14" t="s">
        <v>496</v>
      </c>
    </row>
    <row r="94" customFormat="false" ht="48" hidden="false" customHeight="true" outlineLevel="0" collapsed="false">
      <c r="A94" s="13" t="n">
        <v>93</v>
      </c>
      <c r="B94" s="13" t="s">
        <v>60</v>
      </c>
      <c r="C94" s="14" t="s">
        <v>497</v>
      </c>
      <c r="D94" s="13" t="s">
        <v>498</v>
      </c>
      <c r="E94" s="13" t="s">
        <v>37</v>
      </c>
      <c r="F94" s="13" t="s">
        <v>97</v>
      </c>
      <c r="G94" s="13" t="s">
        <v>98</v>
      </c>
      <c r="H94" s="13"/>
      <c r="I94" s="14" t="s">
        <v>499</v>
      </c>
      <c r="J94" s="15"/>
      <c r="K94" s="14"/>
      <c r="L94" s="15"/>
      <c r="M94" s="13" t="str">
        <f aca="false">IF(L94="","",说明!$B$4-L94)</f>
        <v/>
      </c>
      <c r="N94" s="14"/>
      <c r="O94" s="15"/>
      <c r="P94" s="15"/>
      <c r="Q94" s="14" t="s">
        <v>500</v>
      </c>
      <c r="R94" s="13" t="str">
        <f aca="false">IF(AND(P94="",O94=""),"",IF(OR(N(P94)&gt;=说明!$B$5,N(O94)&gt;=说明!$B$6),"大型",IF(OR(N(P94)&gt;=说明!$B$7,N(O94)&gt;=说明!$B$8),"中型","小型")))</f>
        <v/>
      </c>
      <c r="S94" s="14" t="s">
        <v>501</v>
      </c>
      <c r="T94" s="13"/>
      <c r="U94" s="15"/>
      <c r="V94" s="15"/>
      <c r="W94" s="13"/>
      <c r="X94" s="14"/>
      <c r="Y94" s="14"/>
      <c r="Z94" s="16" t="s">
        <v>502</v>
      </c>
      <c r="AA94" s="13" t="s">
        <v>109</v>
      </c>
      <c r="AB94" s="14"/>
    </row>
    <row r="95" customFormat="false" ht="48" hidden="false" customHeight="true" outlineLevel="0" collapsed="false">
      <c r="A95" s="13" t="n">
        <v>94</v>
      </c>
      <c r="B95" s="13" t="s">
        <v>60</v>
      </c>
      <c r="C95" s="14" t="s">
        <v>503</v>
      </c>
      <c r="D95" s="13"/>
      <c r="E95" s="13" t="s">
        <v>41</v>
      </c>
      <c r="F95" s="13" t="s">
        <v>97</v>
      </c>
      <c r="G95" s="13" t="s">
        <v>98</v>
      </c>
      <c r="H95" s="13"/>
      <c r="I95" s="14" t="s">
        <v>504</v>
      </c>
      <c r="J95" s="15"/>
      <c r="K95" s="14"/>
      <c r="L95" s="15"/>
      <c r="M95" s="13" t="str">
        <f aca="false">IF(L95="","",说明!$B$4-L95)</f>
        <v/>
      </c>
      <c r="N95" s="14"/>
      <c r="O95" s="15"/>
      <c r="P95" s="15"/>
      <c r="Q95" s="14"/>
      <c r="R95" s="13" t="str">
        <f aca="false">IF(AND(P95="",O95=""),"",IF(OR(N(P95)&gt;=说明!$B$5,N(O95)&gt;=说明!$B$6),"大型",IF(OR(N(P95)&gt;=说明!$B$7,N(O95)&gt;=说明!$B$8),"中型","小型")))</f>
        <v/>
      </c>
      <c r="S95" s="14" t="s">
        <v>505</v>
      </c>
      <c r="T95" s="13"/>
      <c r="U95" s="15"/>
      <c r="V95" s="15"/>
      <c r="W95" s="13"/>
      <c r="X95" s="14" t="s">
        <v>506</v>
      </c>
      <c r="Y95" s="14" t="s">
        <v>507</v>
      </c>
      <c r="Z95" s="16" t="s">
        <v>508</v>
      </c>
      <c r="AA95" s="13" t="s">
        <v>118</v>
      </c>
      <c r="AB95" s="14" t="s">
        <v>509</v>
      </c>
    </row>
    <row r="96" customFormat="false" ht="48" hidden="false" customHeight="true" outlineLevel="0" collapsed="false">
      <c r="A96" s="13" t="n">
        <v>95</v>
      </c>
      <c r="B96" s="13" t="s">
        <v>60</v>
      </c>
      <c r="C96" s="14" t="s">
        <v>510</v>
      </c>
      <c r="D96" s="13" t="s">
        <v>511</v>
      </c>
      <c r="E96" s="13" t="s">
        <v>36</v>
      </c>
      <c r="F96" s="13" t="s">
        <v>97</v>
      </c>
      <c r="G96" s="13" t="s">
        <v>98</v>
      </c>
      <c r="H96" s="13"/>
      <c r="I96" s="14" t="s">
        <v>512</v>
      </c>
      <c r="J96" s="15"/>
      <c r="K96" s="14"/>
      <c r="L96" s="15"/>
      <c r="M96" s="13" t="str">
        <f aca="false">IF(L96="","",说明!$B$4-L96)</f>
        <v/>
      </c>
      <c r="N96" s="14"/>
      <c r="O96" s="15"/>
      <c r="P96" s="15"/>
      <c r="Q96" s="14" t="s">
        <v>513</v>
      </c>
      <c r="R96" s="13" t="str">
        <f aca="false">IF(AND(P96="",O96=""),"",IF(OR(N(P96)&gt;=说明!$B$5,N(O96)&gt;=说明!$B$6),"大型",IF(OR(N(P96)&gt;=说明!$B$7,N(O96)&gt;=说明!$B$8),"中型","小型")))</f>
        <v/>
      </c>
      <c r="S96" s="14" t="s">
        <v>514</v>
      </c>
      <c r="T96" s="13"/>
      <c r="U96" s="15"/>
      <c r="V96" s="15"/>
      <c r="W96" s="13"/>
      <c r="X96" s="14"/>
      <c r="Y96" s="14" t="s">
        <v>515</v>
      </c>
      <c r="Z96" s="16" t="s">
        <v>516</v>
      </c>
      <c r="AA96" s="13" t="s">
        <v>118</v>
      </c>
      <c r="AB96" s="14" t="s">
        <v>517</v>
      </c>
    </row>
    <row r="97" customFormat="false" ht="48" hidden="false" customHeight="true" outlineLevel="0" collapsed="false">
      <c r="A97" s="13" t="n">
        <v>96</v>
      </c>
      <c r="B97" s="13" t="s">
        <v>60</v>
      </c>
      <c r="C97" s="14" t="s">
        <v>518</v>
      </c>
      <c r="D97" s="13"/>
      <c r="E97" s="13" t="s">
        <v>40</v>
      </c>
      <c r="F97" s="13" t="s">
        <v>217</v>
      </c>
      <c r="G97" s="13" t="s">
        <v>98</v>
      </c>
      <c r="H97" s="13"/>
      <c r="I97" s="14"/>
      <c r="J97" s="15"/>
      <c r="K97" s="14"/>
      <c r="L97" s="15"/>
      <c r="M97" s="13" t="str">
        <f aca="false">IF(L97="","",说明!$B$4-L97)</f>
        <v/>
      </c>
      <c r="N97" s="14"/>
      <c r="O97" s="15"/>
      <c r="P97" s="15"/>
      <c r="Q97" s="14"/>
      <c r="R97" s="13" t="str">
        <f aca="false">IF(AND(P97="",O97=""),"",IF(OR(N(P97)&gt;=说明!$B$5,N(O97)&gt;=说明!$B$6),"大型",IF(OR(N(P97)&gt;=说明!$B$7,N(O97)&gt;=说明!$B$8),"中型","小型")))</f>
        <v/>
      </c>
      <c r="S97" s="14" t="s">
        <v>519</v>
      </c>
      <c r="T97" s="13"/>
      <c r="U97" s="15"/>
      <c r="V97" s="15"/>
      <c r="W97" s="13"/>
      <c r="X97" s="14"/>
      <c r="Y97" s="14" t="s">
        <v>520</v>
      </c>
      <c r="Z97" s="16" t="s">
        <v>521</v>
      </c>
      <c r="AA97" s="13" t="s">
        <v>109</v>
      </c>
      <c r="AB97" s="14"/>
    </row>
    <row r="98" customFormat="false" ht="48" hidden="false" customHeight="true" outlineLevel="0" collapsed="false">
      <c r="A98" s="13" t="n">
        <v>97</v>
      </c>
      <c r="B98" s="13" t="s">
        <v>60</v>
      </c>
      <c r="C98" s="14" t="s">
        <v>522</v>
      </c>
      <c r="D98" s="13" t="s">
        <v>522</v>
      </c>
      <c r="E98" s="13" t="s">
        <v>36</v>
      </c>
      <c r="F98" s="13" t="s">
        <v>127</v>
      </c>
      <c r="G98" s="13" t="s">
        <v>128</v>
      </c>
      <c r="H98" s="13"/>
      <c r="I98" s="14"/>
      <c r="J98" s="15"/>
      <c r="K98" s="14"/>
      <c r="L98" s="15"/>
      <c r="M98" s="13" t="str">
        <f aca="false">IF(L98="","",说明!$B$4-L98)</f>
        <v/>
      </c>
      <c r="N98" s="14"/>
      <c r="O98" s="15"/>
      <c r="P98" s="15"/>
      <c r="Q98" s="14"/>
      <c r="R98" s="13" t="str">
        <f aca="false">IF(AND(P98="",O98=""),"",IF(OR(N(P98)&gt;=说明!$B$5,N(O98)&gt;=说明!$B$6),"大型",IF(OR(N(P98)&gt;=说明!$B$7,N(O98)&gt;=说明!$B$8),"中型","小型")))</f>
        <v/>
      </c>
      <c r="S98" s="14"/>
      <c r="T98" s="13"/>
      <c r="U98" s="15"/>
      <c r="V98" s="15"/>
      <c r="W98" s="13"/>
      <c r="X98" s="14"/>
      <c r="Y98" s="14"/>
      <c r="Z98" s="16" t="s">
        <v>523</v>
      </c>
      <c r="AA98" s="13" t="s">
        <v>118</v>
      </c>
      <c r="AB98" s="14"/>
    </row>
    <row r="99" customFormat="false" ht="48" hidden="false" customHeight="true" outlineLevel="0" collapsed="false">
      <c r="A99" s="13" t="n">
        <v>98</v>
      </c>
      <c r="B99" s="13" t="s">
        <v>60</v>
      </c>
      <c r="C99" s="14" t="s">
        <v>524</v>
      </c>
      <c r="D99" s="13" t="s">
        <v>524</v>
      </c>
      <c r="E99" s="13" t="s">
        <v>37</v>
      </c>
      <c r="F99" s="13" t="s">
        <v>131</v>
      </c>
      <c r="G99" s="13" t="s">
        <v>134</v>
      </c>
      <c r="H99" s="13"/>
      <c r="I99" s="14" t="s">
        <v>525</v>
      </c>
      <c r="J99" s="15"/>
      <c r="K99" s="14"/>
      <c r="L99" s="15"/>
      <c r="M99" s="13" t="str">
        <f aca="false">IF(L99="","",说明!$B$4-L99)</f>
        <v/>
      </c>
      <c r="N99" s="14"/>
      <c r="O99" s="15"/>
      <c r="P99" s="15"/>
      <c r="Q99" s="14"/>
      <c r="R99" s="13" t="str">
        <f aca="false">IF(AND(P99="",O99=""),"",IF(OR(N(P99)&gt;=说明!$B$5,N(O99)&gt;=说明!$B$6),"大型",IF(OR(N(P99)&gt;=说明!$B$7,N(O99)&gt;=说明!$B$8),"中型","小型")))</f>
        <v/>
      </c>
      <c r="S99" s="14"/>
      <c r="T99" s="13"/>
      <c r="U99" s="15"/>
      <c r="V99" s="15"/>
      <c r="W99" s="13"/>
      <c r="X99" s="14"/>
      <c r="Y99" s="14"/>
      <c r="Z99" s="16" t="s">
        <v>137</v>
      </c>
      <c r="AA99" s="13" t="s">
        <v>109</v>
      </c>
      <c r="AB99" s="14"/>
    </row>
    <row r="100" customFormat="false" ht="48" hidden="false" customHeight="true" outlineLevel="0" collapsed="false">
      <c r="A100" s="13" t="n">
        <v>99</v>
      </c>
      <c r="B100" s="13" t="s">
        <v>60</v>
      </c>
      <c r="C100" s="14" t="s">
        <v>526</v>
      </c>
      <c r="D100" s="13" t="s">
        <v>527</v>
      </c>
      <c r="E100" s="13" t="s">
        <v>37</v>
      </c>
      <c r="F100" s="13" t="s">
        <v>131</v>
      </c>
      <c r="G100" s="13" t="s">
        <v>128</v>
      </c>
      <c r="H100" s="13"/>
      <c r="I100" s="14"/>
      <c r="J100" s="15"/>
      <c r="K100" s="14"/>
      <c r="L100" s="15"/>
      <c r="M100" s="13" t="str">
        <f aca="false">IF(L100="","",说明!$B$4-L100)</f>
        <v/>
      </c>
      <c r="N100" s="14"/>
      <c r="O100" s="15"/>
      <c r="P100" s="15"/>
      <c r="Q100" s="14"/>
      <c r="R100" s="13" t="str">
        <f aca="false">IF(AND(P100="",O100=""),"",IF(OR(N(P100)&gt;=说明!$B$5,N(O100)&gt;=说明!$B$6),"大型",IF(OR(N(P100)&gt;=说明!$B$7,N(O100)&gt;=说明!$B$8),"中型","小型")))</f>
        <v/>
      </c>
      <c r="S100" s="14"/>
      <c r="T100" s="13"/>
      <c r="U100" s="15"/>
      <c r="V100" s="15"/>
      <c r="W100" s="13"/>
      <c r="X100" s="14"/>
      <c r="Y100" s="14"/>
      <c r="Z100" s="16" t="s">
        <v>528</v>
      </c>
      <c r="AA100" s="13" t="s">
        <v>118</v>
      </c>
      <c r="AB100" s="14"/>
    </row>
    <row r="101" customFormat="false" ht="48" hidden="false" customHeight="true" outlineLevel="0" collapsed="false">
      <c r="A101" s="13" t="n">
        <v>100</v>
      </c>
      <c r="B101" s="13" t="s">
        <v>60</v>
      </c>
      <c r="C101" s="14" t="s">
        <v>529</v>
      </c>
      <c r="D101" s="13" t="s">
        <v>529</v>
      </c>
      <c r="E101" s="13" t="s">
        <v>36</v>
      </c>
      <c r="F101" s="13" t="s">
        <v>131</v>
      </c>
      <c r="G101" s="13" t="s">
        <v>134</v>
      </c>
      <c r="H101" s="13"/>
      <c r="I101" s="14" t="s">
        <v>530</v>
      </c>
      <c r="J101" s="15"/>
      <c r="K101" s="14"/>
      <c r="L101" s="15"/>
      <c r="M101" s="13" t="str">
        <f aca="false">IF(L101="","",说明!$B$4-L101)</f>
        <v/>
      </c>
      <c r="N101" s="14"/>
      <c r="O101" s="15"/>
      <c r="P101" s="15"/>
      <c r="Q101" s="14"/>
      <c r="R101" s="13" t="str">
        <f aca="false">IF(AND(P101="",O101=""),"",IF(OR(N(P101)&gt;=说明!$B$5,N(O101)&gt;=说明!$B$6),"大型",IF(OR(N(P101)&gt;=说明!$B$7,N(O101)&gt;=说明!$B$8),"中型","小型")))</f>
        <v/>
      </c>
      <c r="S101" s="14"/>
      <c r="T101" s="13"/>
      <c r="U101" s="15"/>
      <c r="V101" s="15"/>
      <c r="W101" s="13"/>
      <c r="X101" s="14"/>
      <c r="Y101" s="14"/>
      <c r="Z101" s="16" t="s">
        <v>137</v>
      </c>
      <c r="AA101" s="13" t="s">
        <v>109</v>
      </c>
      <c r="AB101" s="14"/>
    </row>
    <row r="102" customFormat="false" ht="48" hidden="false" customHeight="true" outlineLevel="0" collapsed="false">
      <c r="A102" s="13" t="n">
        <v>101</v>
      </c>
      <c r="B102" s="13" t="s">
        <v>60</v>
      </c>
      <c r="C102" s="14" t="s">
        <v>531</v>
      </c>
      <c r="D102" s="13" t="s">
        <v>531</v>
      </c>
      <c r="E102" s="13" t="s">
        <v>36</v>
      </c>
      <c r="F102" s="13" t="s">
        <v>131</v>
      </c>
      <c r="G102" s="13" t="s">
        <v>134</v>
      </c>
      <c r="H102" s="13"/>
      <c r="I102" s="14" t="s">
        <v>532</v>
      </c>
      <c r="J102" s="15"/>
      <c r="K102" s="14"/>
      <c r="L102" s="15"/>
      <c r="M102" s="13" t="str">
        <f aca="false">IF(L102="","",说明!$B$4-L102)</f>
        <v/>
      </c>
      <c r="N102" s="14"/>
      <c r="O102" s="15"/>
      <c r="P102" s="15"/>
      <c r="Q102" s="14"/>
      <c r="R102" s="13" t="str">
        <f aca="false">IF(AND(P102="",O102=""),"",IF(OR(N(P102)&gt;=说明!$B$5,N(O102)&gt;=说明!$B$6),"大型",IF(OR(N(P102)&gt;=说明!$B$7,N(O102)&gt;=说明!$B$8),"中型","小型")))</f>
        <v/>
      </c>
      <c r="S102" s="14"/>
      <c r="T102" s="13"/>
      <c r="U102" s="15"/>
      <c r="V102" s="15"/>
      <c r="W102" s="13"/>
      <c r="X102" s="14"/>
      <c r="Y102" s="14"/>
      <c r="Z102" s="16" t="s">
        <v>137</v>
      </c>
      <c r="AA102" s="13" t="s">
        <v>109</v>
      </c>
      <c r="AB102" s="14"/>
    </row>
    <row r="103" customFormat="false" ht="48" hidden="false" customHeight="true" outlineLevel="0" collapsed="false">
      <c r="A103" s="13" t="n">
        <v>102</v>
      </c>
      <c r="B103" s="13" t="s">
        <v>61</v>
      </c>
      <c r="C103" s="14" t="s">
        <v>533</v>
      </c>
      <c r="D103" s="13"/>
      <c r="E103" s="13" t="s">
        <v>40</v>
      </c>
      <c r="F103" s="13" t="s">
        <v>217</v>
      </c>
      <c r="G103" s="13" t="s">
        <v>98</v>
      </c>
      <c r="H103" s="13"/>
      <c r="I103" s="14"/>
      <c r="J103" s="15"/>
      <c r="K103" s="14"/>
      <c r="L103" s="15"/>
      <c r="M103" s="13" t="str">
        <f aca="false">IF(L103="","",说明!$B$4-L103)</f>
        <v/>
      </c>
      <c r="N103" s="14"/>
      <c r="O103" s="15"/>
      <c r="P103" s="15"/>
      <c r="Q103" s="14"/>
      <c r="R103" s="13" t="str">
        <f aca="false">IF(AND(P103="",O103=""),"",IF(OR(N(P103)&gt;=说明!$B$5,N(O103)&gt;=说明!$B$6),"大型",IF(OR(N(P103)&gt;=说明!$B$7,N(O103)&gt;=说明!$B$8),"中型","小型")))</f>
        <v/>
      </c>
      <c r="S103" s="14" t="s">
        <v>534</v>
      </c>
      <c r="T103" s="13"/>
      <c r="U103" s="15"/>
      <c r="V103" s="15"/>
      <c r="W103" s="13"/>
      <c r="X103" s="14"/>
      <c r="Y103" s="14" t="s">
        <v>535</v>
      </c>
      <c r="Z103" s="16" t="s">
        <v>536</v>
      </c>
      <c r="AA103" s="13" t="s">
        <v>118</v>
      </c>
      <c r="AB103" s="14" t="s">
        <v>537</v>
      </c>
    </row>
    <row r="104" customFormat="false" ht="48" hidden="false" customHeight="true" outlineLevel="0" collapsed="false">
      <c r="A104" s="13" t="n">
        <v>103</v>
      </c>
      <c r="B104" s="13" t="s">
        <v>61</v>
      </c>
      <c r="C104" s="14" t="s">
        <v>538</v>
      </c>
      <c r="D104" s="13" t="s">
        <v>538</v>
      </c>
      <c r="E104" s="13" t="s">
        <v>36</v>
      </c>
      <c r="F104" s="13" t="s">
        <v>127</v>
      </c>
      <c r="G104" s="13" t="s">
        <v>134</v>
      </c>
      <c r="H104" s="13"/>
      <c r="I104" s="14" t="s">
        <v>539</v>
      </c>
      <c r="J104" s="15"/>
      <c r="K104" s="14"/>
      <c r="L104" s="15"/>
      <c r="M104" s="13" t="str">
        <f aca="false">IF(L104="","",说明!$B$4-L104)</f>
        <v/>
      </c>
      <c r="N104" s="14"/>
      <c r="O104" s="15"/>
      <c r="P104" s="15"/>
      <c r="Q104" s="14"/>
      <c r="R104" s="13" t="str">
        <f aca="false">IF(AND(P104="",O104=""),"",IF(OR(N(P104)&gt;=说明!$B$5,N(O104)&gt;=说明!$B$6),"大型",IF(OR(N(P104)&gt;=说明!$B$7,N(O104)&gt;=说明!$B$8),"中型","小型")))</f>
        <v/>
      </c>
      <c r="S104" s="14"/>
      <c r="T104" s="13"/>
      <c r="U104" s="15"/>
      <c r="V104" s="15"/>
      <c r="W104" s="13"/>
      <c r="X104" s="14"/>
      <c r="Y104" s="14"/>
      <c r="Z104" s="16" t="s">
        <v>137</v>
      </c>
      <c r="AA104" s="13" t="s">
        <v>109</v>
      </c>
      <c r="AB104" s="14"/>
    </row>
    <row r="105" customFormat="false" ht="48" hidden="false" customHeight="true" outlineLevel="0" collapsed="false">
      <c r="A105" s="13" t="n">
        <v>104</v>
      </c>
      <c r="B105" s="13" t="s">
        <v>61</v>
      </c>
      <c r="C105" s="14" t="s">
        <v>540</v>
      </c>
      <c r="D105" s="13" t="s">
        <v>540</v>
      </c>
      <c r="E105" s="13" t="s">
        <v>36</v>
      </c>
      <c r="F105" s="13" t="s">
        <v>131</v>
      </c>
      <c r="G105" s="13" t="s">
        <v>128</v>
      </c>
      <c r="H105" s="13"/>
      <c r="I105" s="14"/>
      <c r="J105" s="15"/>
      <c r="K105" s="14"/>
      <c r="L105" s="15"/>
      <c r="M105" s="13" t="str">
        <f aca="false">IF(L105="","",说明!$B$4-L105)</f>
        <v/>
      </c>
      <c r="N105" s="14"/>
      <c r="O105" s="15"/>
      <c r="P105" s="15"/>
      <c r="Q105" s="14"/>
      <c r="R105" s="13" t="str">
        <f aca="false">IF(AND(P105="",O105=""),"",IF(OR(N(P105)&gt;=说明!$B$5,N(O105)&gt;=说明!$B$6),"大型",IF(OR(N(P105)&gt;=说明!$B$7,N(O105)&gt;=说明!$B$8),"中型","小型")))</f>
        <v/>
      </c>
      <c r="S105" s="14"/>
      <c r="T105" s="13"/>
      <c r="U105" s="15"/>
      <c r="V105" s="15"/>
      <c r="W105" s="13"/>
      <c r="X105" s="14"/>
      <c r="Y105" s="14"/>
      <c r="Z105" s="16" t="s">
        <v>541</v>
      </c>
      <c r="AA105" s="13" t="s">
        <v>118</v>
      </c>
      <c r="AB105" s="14"/>
    </row>
    <row r="106" customFormat="false" ht="48" hidden="false" customHeight="true" outlineLevel="0" collapsed="false">
      <c r="A106" s="13" t="n">
        <v>105</v>
      </c>
      <c r="B106" s="13" t="s">
        <v>62</v>
      </c>
      <c r="C106" s="14" t="s">
        <v>542</v>
      </c>
      <c r="D106" s="13" t="s">
        <v>543</v>
      </c>
      <c r="E106" s="13" t="s">
        <v>41</v>
      </c>
      <c r="F106" s="13" t="s">
        <v>97</v>
      </c>
      <c r="G106" s="13" t="s">
        <v>98</v>
      </c>
      <c r="H106" s="13"/>
      <c r="I106" s="14" t="s">
        <v>544</v>
      </c>
      <c r="J106" s="15"/>
      <c r="K106" s="14"/>
      <c r="L106" s="15"/>
      <c r="M106" s="13" t="str">
        <f aca="false">IF(L106="","",说明!$B$4-L106)</f>
        <v/>
      </c>
      <c r="N106" s="14"/>
      <c r="O106" s="15"/>
      <c r="P106" s="15"/>
      <c r="Q106" s="14"/>
      <c r="R106" s="13" t="str">
        <f aca="false">IF(AND(P106="",O106=""),"",IF(OR(N(P106)&gt;=说明!$B$5,N(O106)&gt;=说明!$B$6),"大型",IF(OR(N(P106)&gt;=说明!$B$7,N(O106)&gt;=说明!$B$8),"中型","小型")))</f>
        <v/>
      </c>
      <c r="S106" s="14" t="s">
        <v>545</v>
      </c>
      <c r="T106" s="13"/>
      <c r="U106" s="15"/>
      <c r="V106" s="15"/>
      <c r="W106" s="13"/>
      <c r="X106" s="14"/>
      <c r="Y106" s="14" t="s">
        <v>546</v>
      </c>
      <c r="Z106" s="16" t="s">
        <v>547</v>
      </c>
      <c r="AA106" s="13" t="s">
        <v>109</v>
      </c>
      <c r="AB106" s="14"/>
    </row>
    <row r="107" customFormat="false" ht="48" hidden="false" customHeight="true" outlineLevel="0" collapsed="false">
      <c r="A107" s="13" t="n">
        <v>106</v>
      </c>
      <c r="B107" s="13" t="s">
        <v>62</v>
      </c>
      <c r="C107" s="14" t="s">
        <v>548</v>
      </c>
      <c r="D107" s="13"/>
      <c r="E107" s="13" t="s">
        <v>40</v>
      </c>
      <c r="F107" s="13" t="s">
        <v>217</v>
      </c>
      <c r="G107" s="13" t="s">
        <v>98</v>
      </c>
      <c r="H107" s="13"/>
      <c r="I107" s="14"/>
      <c r="J107" s="15"/>
      <c r="K107" s="14"/>
      <c r="L107" s="15"/>
      <c r="M107" s="13" t="str">
        <f aca="false">IF(L107="","",说明!$B$4-L107)</f>
        <v/>
      </c>
      <c r="N107" s="14"/>
      <c r="O107" s="15"/>
      <c r="P107" s="15"/>
      <c r="Q107" s="14"/>
      <c r="R107" s="13" t="str">
        <f aca="false">IF(AND(P107="",O107=""),"",IF(OR(N(P107)&gt;=说明!$B$5,N(O107)&gt;=说明!$B$6),"大型",IF(OR(N(P107)&gt;=说明!$B$7,N(O107)&gt;=说明!$B$8),"中型","小型")))</f>
        <v/>
      </c>
      <c r="S107" s="14"/>
      <c r="T107" s="13"/>
      <c r="U107" s="15"/>
      <c r="V107" s="15"/>
      <c r="W107" s="13"/>
      <c r="X107" s="14"/>
      <c r="Y107" s="14" t="s">
        <v>549</v>
      </c>
      <c r="Z107" s="16" t="s">
        <v>550</v>
      </c>
      <c r="AA107" s="13" t="s">
        <v>118</v>
      </c>
      <c r="AB107" s="14" t="s">
        <v>551</v>
      </c>
    </row>
    <row r="108" customFormat="false" ht="48" hidden="false" customHeight="true" outlineLevel="0" collapsed="false">
      <c r="A108" s="13" t="n">
        <v>107</v>
      </c>
      <c r="B108" s="13" t="s">
        <v>63</v>
      </c>
      <c r="C108" s="14" t="s">
        <v>552</v>
      </c>
      <c r="D108" s="13" t="s">
        <v>553</v>
      </c>
      <c r="E108" s="13" t="s">
        <v>42</v>
      </c>
      <c r="F108" s="13" t="s">
        <v>97</v>
      </c>
      <c r="G108" s="13" t="s">
        <v>98</v>
      </c>
      <c r="H108" s="13"/>
      <c r="I108" s="14" t="s">
        <v>554</v>
      </c>
      <c r="J108" s="15"/>
      <c r="K108" s="14" t="s">
        <v>555</v>
      </c>
      <c r="L108" s="13" t="n">
        <v>2012</v>
      </c>
      <c r="M108" s="13" t="n">
        <f aca="false">IF(L108="","",说明!$B$4-L108)</f>
        <v>14</v>
      </c>
      <c r="N108" s="14" t="s">
        <v>556</v>
      </c>
      <c r="O108" s="15"/>
      <c r="P108" s="15"/>
      <c r="Q108" s="14"/>
      <c r="R108" s="13" t="str">
        <f aca="false">IF(AND(P108="",O108=""),"",IF(OR(N(P108)&gt;=说明!$B$5,N(O108)&gt;=说明!$B$6),"大型",IF(OR(N(P108)&gt;=说明!$B$7,N(O108)&gt;=说明!$B$8),"中型","小型")))</f>
        <v/>
      </c>
      <c r="S108" s="14" t="s">
        <v>557</v>
      </c>
      <c r="T108" s="13"/>
      <c r="U108" s="15"/>
      <c r="V108" s="15"/>
      <c r="W108" s="13"/>
      <c r="X108" s="14"/>
      <c r="Y108" s="14" t="s">
        <v>558</v>
      </c>
      <c r="Z108" s="16" t="s">
        <v>559</v>
      </c>
      <c r="AA108" s="13" t="s">
        <v>109</v>
      </c>
      <c r="AB108" s="14"/>
    </row>
    <row r="109" customFormat="false" ht="48" hidden="false" customHeight="true" outlineLevel="0" collapsed="false">
      <c r="A109" s="13" t="n">
        <v>108</v>
      </c>
      <c r="B109" s="13" t="s">
        <v>63</v>
      </c>
      <c r="C109" s="14" t="s">
        <v>560</v>
      </c>
      <c r="D109" s="13"/>
      <c r="E109" s="13" t="s">
        <v>36</v>
      </c>
      <c r="F109" s="13" t="s">
        <v>97</v>
      </c>
      <c r="G109" s="13" t="s">
        <v>98</v>
      </c>
      <c r="H109" s="13"/>
      <c r="I109" s="14"/>
      <c r="J109" s="15"/>
      <c r="K109" s="14"/>
      <c r="L109" s="15"/>
      <c r="M109" s="13" t="str">
        <f aca="false">IF(L109="","",说明!$B$4-L109)</f>
        <v/>
      </c>
      <c r="N109" s="14"/>
      <c r="O109" s="15"/>
      <c r="P109" s="15"/>
      <c r="Q109" s="14"/>
      <c r="R109" s="13" t="str">
        <f aca="false">IF(AND(P109="",O109=""),"",IF(OR(N(P109)&gt;=说明!$B$5,N(O109)&gt;=说明!$B$6),"大型",IF(OR(N(P109)&gt;=说明!$B$7,N(O109)&gt;=说明!$B$8),"中型","小型")))</f>
        <v/>
      </c>
      <c r="S109" s="14" t="s">
        <v>561</v>
      </c>
      <c r="T109" s="13"/>
      <c r="U109" s="15"/>
      <c r="V109" s="15"/>
      <c r="W109" s="13"/>
      <c r="X109" s="14"/>
      <c r="Y109" s="14"/>
      <c r="Z109" s="16" t="s">
        <v>562</v>
      </c>
      <c r="AA109" s="13" t="s">
        <v>118</v>
      </c>
      <c r="AB109" s="14"/>
    </row>
    <row r="110" customFormat="false" ht="48" hidden="false" customHeight="true" outlineLevel="0" collapsed="false">
      <c r="A110" s="13" t="n">
        <v>109</v>
      </c>
      <c r="B110" s="13" t="s">
        <v>63</v>
      </c>
      <c r="C110" s="14" t="s">
        <v>563</v>
      </c>
      <c r="D110" s="13" t="s">
        <v>564</v>
      </c>
      <c r="E110" s="13" t="s">
        <v>38</v>
      </c>
      <c r="F110" s="13" t="s">
        <v>97</v>
      </c>
      <c r="G110" s="13" t="s">
        <v>98</v>
      </c>
      <c r="H110" s="13"/>
      <c r="I110" s="14"/>
      <c r="J110" s="15"/>
      <c r="K110" s="14"/>
      <c r="L110" s="15"/>
      <c r="M110" s="13" t="str">
        <f aca="false">IF(L110="","",说明!$B$4-L110)</f>
        <v/>
      </c>
      <c r="N110" s="14"/>
      <c r="O110" s="15"/>
      <c r="P110" s="15"/>
      <c r="Q110" s="14"/>
      <c r="R110" s="13" t="str">
        <f aca="false">IF(AND(P110="",O110=""),"",IF(OR(N(P110)&gt;=说明!$B$5,N(O110)&gt;=说明!$B$6),"大型",IF(OR(N(P110)&gt;=说明!$B$7,N(O110)&gt;=说明!$B$8),"中型","小型")))</f>
        <v/>
      </c>
      <c r="S110" s="14" t="s">
        <v>565</v>
      </c>
      <c r="T110" s="13"/>
      <c r="U110" s="15"/>
      <c r="V110" s="15"/>
      <c r="W110" s="13"/>
      <c r="X110" s="14"/>
      <c r="Y110" s="14" t="s">
        <v>566</v>
      </c>
      <c r="Z110" s="16" t="s">
        <v>567</v>
      </c>
      <c r="AA110" s="13" t="s">
        <v>118</v>
      </c>
      <c r="AB110" s="14" t="s">
        <v>568</v>
      </c>
    </row>
    <row r="111" customFormat="false" ht="48" hidden="false" customHeight="true" outlineLevel="0" collapsed="false">
      <c r="A111" s="13" t="n">
        <v>110</v>
      </c>
      <c r="B111" s="13" t="s">
        <v>63</v>
      </c>
      <c r="C111" s="14" t="s">
        <v>569</v>
      </c>
      <c r="D111" s="13"/>
      <c r="E111" s="13" t="s">
        <v>40</v>
      </c>
      <c r="F111" s="13" t="s">
        <v>217</v>
      </c>
      <c r="G111" s="13" t="s">
        <v>98</v>
      </c>
      <c r="H111" s="13"/>
      <c r="I111" s="14"/>
      <c r="J111" s="15"/>
      <c r="K111" s="14"/>
      <c r="L111" s="15"/>
      <c r="M111" s="13" t="str">
        <f aca="false">IF(L111="","",说明!$B$4-L111)</f>
        <v/>
      </c>
      <c r="N111" s="14"/>
      <c r="O111" s="15"/>
      <c r="P111" s="15"/>
      <c r="Q111" s="14"/>
      <c r="R111" s="13" t="str">
        <f aca="false">IF(AND(P111="",O111=""),"",IF(OR(N(P111)&gt;=说明!$B$5,N(O111)&gt;=说明!$B$6),"大型",IF(OR(N(P111)&gt;=说明!$B$7,N(O111)&gt;=说明!$B$8),"中型","小型")))</f>
        <v/>
      </c>
      <c r="S111" s="14" t="s">
        <v>570</v>
      </c>
      <c r="T111" s="13"/>
      <c r="U111" s="15"/>
      <c r="V111" s="15"/>
      <c r="W111" s="13"/>
      <c r="X111" s="14"/>
      <c r="Y111" s="14"/>
      <c r="Z111" s="16" t="s">
        <v>571</v>
      </c>
      <c r="AA111" s="13" t="s">
        <v>109</v>
      </c>
      <c r="AB111" s="14"/>
    </row>
    <row r="112" customFormat="false" ht="48" hidden="false" customHeight="true" outlineLevel="0" collapsed="false">
      <c r="A112" s="13" t="n">
        <v>111</v>
      </c>
      <c r="B112" s="13" t="s">
        <v>63</v>
      </c>
      <c r="C112" s="14" t="s">
        <v>572</v>
      </c>
      <c r="D112" s="13" t="s">
        <v>573</v>
      </c>
      <c r="E112" s="13" t="s">
        <v>42</v>
      </c>
      <c r="F112" s="13" t="s">
        <v>131</v>
      </c>
      <c r="G112" s="13" t="s">
        <v>325</v>
      </c>
      <c r="H112" s="13"/>
      <c r="I112" s="14" t="s">
        <v>574</v>
      </c>
      <c r="J112" s="15"/>
      <c r="K112" s="14"/>
      <c r="L112" s="15"/>
      <c r="M112" s="13" t="str">
        <f aca="false">IF(L112="","",说明!$B$4-L112)</f>
        <v/>
      </c>
      <c r="N112" s="14"/>
      <c r="O112" s="15"/>
      <c r="P112" s="15"/>
      <c r="Q112" s="14"/>
      <c r="R112" s="13" t="str">
        <f aca="false">IF(AND(P112="",O112=""),"",IF(OR(N(P112)&gt;=说明!$B$5,N(O112)&gt;=说明!$B$6),"大型",IF(OR(N(P112)&gt;=说明!$B$7,N(O112)&gt;=说明!$B$8),"中型","小型")))</f>
        <v/>
      </c>
      <c r="S112" s="14"/>
      <c r="T112" s="13"/>
      <c r="U112" s="15"/>
      <c r="V112" s="15"/>
      <c r="W112" s="13"/>
      <c r="X112" s="14"/>
      <c r="Y112" s="14"/>
      <c r="Z112" s="16" t="s">
        <v>137</v>
      </c>
      <c r="AA112" s="13" t="s">
        <v>109</v>
      </c>
      <c r="AB112" s="14" t="s">
        <v>454</v>
      </c>
    </row>
    <row r="113" customFormat="false" ht="48" hidden="false" customHeight="true" outlineLevel="0" collapsed="false">
      <c r="A113" s="13" t="n">
        <v>112</v>
      </c>
      <c r="B113" s="13" t="s">
        <v>64</v>
      </c>
      <c r="C113" s="14" t="s">
        <v>575</v>
      </c>
      <c r="D113" s="13" t="s">
        <v>575</v>
      </c>
      <c r="E113" s="13" t="s">
        <v>37</v>
      </c>
      <c r="F113" s="13" t="s">
        <v>131</v>
      </c>
      <c r="G113" s="13" t="s">
        <v>134</v>
      </c>
      <c r="H113" s="13"/>
      <c r="I113" s="14" t="s">
        <v>576</v>
      </c>
      <c r="J113" s="15"/>
      <c r="K113" s="14"/>
      <c r="L113" s="15"/>
      <c r="M113" s="13" t="str">
        <f aca="false">IF(L113="","",说明!$B$4-L113)</f>
        <v/>
      </c>
      <c r="N113" s="14"/>
      <c r="O113" s="15"/>
      <c r="P113" s="15"/>
      <c r="Q113" s="14"/>
      <c r="R113" s="13" t="str">
        <f aca="false">IF(AND(P113="",O113=""),"",IF(OR(N(P113)&gt;=说明!$B$5,N(O113)&gt;=说明!$B$6),"大型",IF(OR(N(P113)&gt;=说明!$B$7,N(O113)&gt;=说明!$B$8),"中型","小型")))</f>
        <v/>
      </c>
      <c r="S113" s="14"/>
      <c r="T113" s="13"/>
      <c r="U113" s="15"/>
      <c r="V113" s="15"/>
      <c r="W113" s="13"/>
      <c r="X113" s="14"/>
      <c r="Y113" s="14"/>
      <c r="Z113" s="16" t="s">
        <v>137</v>
      </c>
      <c r="AA113" s="13" t="s">
        <v>109</v>
      </c>
      <c r="AB113" s="14"/>
    </row>
    <row r="114" customFormat="false" ht="48" hidden="false" customHeight="true" outlineLevel="0" collapsed="false">
      <c r="A114" s="13" t="n">
        <v>113</v>
      </c>
      <c r="B114" s="13" t="s">
        <v>64</v>
      </c>
      <c r="C114" s="14" t="s">
        <v>577</v>
      </c>
      <c r="D114" s="13" t="s">
        <v>577</v>
      </c>
      <c r="E114" s="13" t="s">
        <v>37</v>
      </c>
      <c r="F114" s="13" t="s">
        <v>131</v>
      </c>
      <c r="G114" s="13" t="s">
        <v>134</v>
      </c>
      <c r="H114" s="13"/>
      <c r="I114" s="14" t="s">
        <v>578</v>
      </c>
      <c r="J114" s="13" t="s">
        <v>579</v>
      </c>
      <c r="K114" s="14"/>
      <c r="L114" s="15"/>
      <c r="M114" s="13" t="str">
        <f aca="false">IF(L114="","",说明!$B$4-L114)</f>
        <v/>
      </c>
      <c r="N114" s="14"/>
      <c r="O114" s="15"/>
      <c r="P114" s="15"/>
      <c r="Q114" s="14"/>
      <c r="R114" s="13" t="str">
        <f aca="false">IF(AND(P114="",O114=""),"",IF(OR(N(P114)&gt;=说明!$B$5,N(O114)&gt;=说明!$B$6),"大型",IF(OR(N(P114)&gt;=说明!$B$7,N(O114)&gt;=说明!$B$8),"中型","小型")))</f>
        <v/>
      </c>
      <c r="S114" s="14"/>
      <c r="T114" s="13"/>
      <c r="U114" s="15"/>
      <c r="V114" s="15"/>
      <c r="W114" s="13"/>
      <c r="X114" s="14"/>
      <c r="Y114" s="14"/>
      <c r="Z114" s="16" t="s">
        <v>137</v>
      </c>
      <c r="AA114" s="13" t="s">
        <v>109</v>
      </c>
      <c r="AB114" s="14"/>
    </row>
    <row r="115" customFormat="false" ht="48" hidden="false" customHeight="true" outlineLevel="0" collapsed="false">
      <c r="A115" s="13" t="n">
        <v>114</v>
      </c>
      <c r="B115" s="13" t="s">
        <v>66</v>
      </c>
      <c r="C115" s="14" t="s">
        <v>580</v>
      </c>
      <c r="D115" s="13"/>
      <c r="E115" s="13" t="s">
        <v>40</v>
      </c>
      <c r="F115" s="13" t="s">
        <v>217</v>
      </c>
      <c r="G115" s="13" t="s">
        <v>98</v>
      </c>
      <c r="H115" s="13"/>
      <c r="I115" s="14"/>
      <c r="J115" s="15"/>
      <c r="K115" s="14"/>
      <c r="L115" s="15"/>
      <c r="M115" s="13" t="str">
        <f aca="false">IF(L115="","",说明!$B$4-L115)</f>
        <v/>
      </c>
      <c r="N115" s="14"/>
      <c r="O115" s="15"/>
      <c r="P115" s="15"/>
      <c r="Q115" s="14"/>
      <c r="R115" s="13" t="str">
        <f aca="false">IF(AND(P115="",O115=""),"",IF(OR(N(P115)&gt;=说明!$B$5,N(O115)&gt;=说明!$B$6),"大型",IF(OR(N(P115)&gt;=说明!$B$7,N(O115)&gt;=说明!$B$8),"中型","小型")))</f>
        <v/>
      </c>
      <c r="S115" s="14" t="s">
        <v>581</v>
      </c>
      <c r="T115" s="13"/>
      <c r="U115" s="15"/>
      <c r="V115" s="15"/>
      <c r="W115" s="13"/>
      <c r="X115" s="14"/>
      <c r="Y115" s="14"/>
      <c r="Z115" s="16" t="s">
        <v>582</v>
      </c>
      <c r="AA115" s="13" t="s">
        <v>118</v>
      </c>
      <c r="AB115" s="14"/>
    </row>
    <row r="116" customFormat="false" ht="48" hidden="false" customHeight="true" outlineLevel="0" collapsed="false">
      <c r="A116" s="13" t="n">
        <v>115</v>
      </c>
      <c r="B116" s="13" t="s">
        <v>66</v>
      </c>
      <c r="C116" s="14" t="s">
        <v>583</v>
      </c>
      <c r="D116" s="13" t="s">
        <v>583</v>
      </c>
      <c r="E116" s="13" t="s">
        <v>37</v>
      </c>
      <c r="F116" s="13" t="s">
        <v>131</v>
      </c>
      <c r="G116" s="13" t="s">
        <v>134</v>
      </c>
      <c r="H116" s="13"/>
      <c r="I116" s="14" t="s">
        <v>584</v>
      </c>
      <c r="J116" s="15"/>
      <c r="K116" s="14"/>
      <c r="L116" s="15"/>
      <c r="M116" s="13" t="str">
        <f aca="false">IF(L116="","",说明!$B$4-L116)</f>
        <v/>
      </c>
      <c r="N116" s="14"/>
      <c r="O116" s="15"/>
      <c r="P116" s="15"/>
      <c r="Q116" s="14"/>
      <c r="R116" s="13" t="str">
        <f aca="false">IF(AND(P116="",O116=""),"",IF(OR(N(P116)&gt;=说明!$B$5,N(O116)&gt;=说明!$B$6),"大型",IF(OR(N(P116)&gt;=说明!$B$7,N(O116)&gt;=说明!$B$8),"中型","小型")))</f>
        <v/>
      </c>
      <c r="S116" s="14"/>
      <c r="T116" s="13"/>
      <c r="U116" s="15"/>
      <c r="V116" s="15"/>
      <c r="W116" s="13"/>
      <c r="X116" s="14"/>
      <c r="Y116" s="14"/>
      <c r="Z116" s="16" t="s">
        <v>137</v>
      </c>
      <c r="AA116" s="13" t="s">
        <v>109</v>
      </c>
      <c r="AB116" s="14"/>
    </row>
    <row r="117" customFormat="false" ht="48" hidden="false" customHeight="true" outlineLevel="0" collapsed="false">
      <c r="A117" s="13" t="n">
        <v>116</v>
      </c>
      <c r="B117" s="13" t="s">
        <v>67</v>
      </c>
      <c r="C117" s="14" t="s">
        <v>585</v>
      </c>
      <c r="D117" s="13"/>
      <c r="E117" s="13" t="s">
        <v>40</v>
      </c>
      <c r="F117" s="13" t="s">
        <v>217</v>
      </c>
      <c r="G117" s="13" t="s">
        <v>98</v>
      </c>
      <c r="H117" s="13"/>
      <c r="I117" s="14"/>
      <c r="J117" s="15"/>
      <c r="K117" s="14"/>
      <c r="L117" s="15"/>
      <c r="M117" s="13" t="str">
        <f aca="false">IF(L117="","",说明!$B$4-L117)</f>
        <v/>
      </c>
      <c r="N117" s="14"/>
      <c r="O117" s="15"/>
      <c r="P117" s="15"/>
      <c r="Q117" s="14"/>
      <c r="R117" s="13" t="str">
        <f aca="false">IF(AND(P117="",O117=""),"",IF(OR(N(P117)&gt;=说明!$B$5,N(O117)&gt;=说明!$B$6),"大型",IF(OR(N(P117)&gt;=说明!$B$7,N(O117)&gt;=说明!$B$8),"中型","小型")))</f>
        <v/>
      </c>
      <c r="S117" s="14" t="s">
        <v>586</v>
      </c>
      <c r="T117" s="13"/>
      <c r="U117" s="15"/>
      <c r="V117" s="15"/>
      <c r="W117" s="13"/>
      <c r="X117" s="14"/>
      <c r="Y117" s="14"/>
      <c r="Z117" s="16" t="s">
        <v>587</v>
      </c>
      <c r="AA117" s="13" t="s">
        <v>118</v>
      </c>
      <c r="AB117" s="14"/>
    </row>
    <row r="118" customFormat="false" ht="48" hidden="false" customHeight="true" outlineLevel="0" collapsed="false">
      <c r="A118" s="13" t="n">
        <v>117</v>
      </c>
      <c r="B118" s="13" t="s">
        <v>67</v>
      </c>
      <c r="C118" s="14" t="s">
        <v>588</v>
      </c>
      <c r="D118" s="13" t="s">
        <v>588</v>
      </c>
      <c r="E118" s="13" t="s">
        <v>37</v>
      </c>
      <c r="F118" s="13" t="s">
        <v>127</v>
      </c>
      <c r="G118" s="13" t="s">
        <v>134</v>
      </c>
      <c r="H118" s="13"/>
      <c r="I118" s="14" t="s">
        <v>589</v>
      </c>
      <c r="J118" s="13" t="s">
        <v>590</v>
      </c>
      <c r="K118" s="14"/>
      <c r="L118" s="15"/>
      <c r="M118" s="13" t="str">
        <f aca="false">IF(L118="","",说明!$B$4-L118)</f>
        <v/>
      </c>
      <c r="N118" s="14"/>
      <c r="O118" s="15"/>
      <c r="P118" s="15"/>
      <c r="Q118" s="14"/>
      <c r="R118" s="13" t="str">
        <f aca="false">IF(AND(P118="",O118=""),"",IF(OR(N(P118)&gt;=说明!$B$5,N(O118)&gt;=说明!$B$6),"大型",IF(OR(N(P118)&gt;=说明!$B$7,N(O118)&gt;=说明!$B$8),"中型","小型")))</f>
        <v/>
      </c>
      <c r="S118" s="14"/>
      <c r="T118" s="13"/>
      <c r="U118" s="15"/>
      <c r="V118" s="15"/>
      <c r="W118" s="13"/>
      <c r="X118" s="14"/>
      <c r="Y118" s="14"/>
      <c r="Z118" s="16" t="s">
        <v>137</v>
      </c>
      <c r="AA118" s="13" t="s">
        <v>109</v>
      </c>
      <c r="AB118" s="14"/>
    </row>
    <row r="119" customFormat="false" ht="48" hidden="false" customHeight="true" outlineLevel="0" collapsed="false">
      <c r="A119" s="13" t="n">
        <v>118</v>
      </c>
      <c r="B119" s="13" t="s">
        <v>67</v>
      </c>
      <c r="C119" s="14" t="s">
        <v>591</v>
      </c>
      <c r="D119" s="13" t="s">
        <v>591</v>
      </c>
      <c r="E119" s="13" t="s">
        <v>36</v>
      </c>
      <c r="F119" s="13" t="s">
        <v>127</v>
      </c>
      <c r="G119" s="13" t="s">
        <v>128</v>
      </c>
      <c r="H119" s="13"/>
      <c r="I119" s="14"/>
      <c r="J119" s="15"/>
      <c r="K119" s="14"/>
      <c r="L119" s="15"/>
      <c r="M119" s="13" t="str">
        <f aca="false">IF(L119="","",说明!$B$4-L119)</f>
        <v/>
      </c>
      <c r="N119" s="14"/>
      <c r="O119" s="15"/>
      <c r="P119" s="15"/>
      <c r="Q119" s="14"/>
      <c r="R119" s="13" t="str">
        <f aca="false">IF(AND(P119="",O119=""),"",IF(OR(N(P119)&gt;=说明!$B$5,N(O119)&gt;=说明!$B$6),"大型",IF(OR(N(P119)&gt;=说明!$B$7,N(O119)&gt;=说明!$B$8),"中型","小型")))</f>
        <v/>
      </c>
      <c r="S119" s="14"/>
      <c r="T119" s="13"/>
      <c r="U119" s="15"/>
      <c r="V119" s="15"/>
      <c r="W119" s="13"/>
      <c r="X119" s="14"/>
      <c r="Y119" s="14"/>
      <c r="Z119" s="16" t="s">
        <v>592</v>
      </c>
      <c r="AA119" s="13" t="s">
        <v>118</v>
      </c>
      <c r="AB119" s="14"/>
    </row>
    <row r="120" customFormat="false" ht="48" hidden="false" customHeight="true" outlineLevel="0" collapsed="false">
      <c r="A120" s="13" t="n">
        <v>119</v>
      </c>
      <c r="B120" s="13" t="s">
        <v>67</v>
      </c>
      <c r="C120" s="14" t="s">
        <v>593</v>
      </c>
      <c r="D120" s="13" t="s">
        <v>594</v>
      </c>
      <c r="E120" s="13" t="s">
        <v>42</v>
      </c>
      <c r="F120" s="13" t="s">
        <v>142</v>
      </c>
      <c r="G120" s="13" t="s">
        <v>341</v>
      </c>
      <c r="H120" s="13"/>
      <c r="I120" s="14" t="s">
        <v>595</v>
      </c>
      <c r="J120" s="15"/>
      <c r="K120" s="14"/>
      <c r="L120" s="15"/>
      <c r="M120" s="13" t="str">
        <f aca="false">IF(L120="","",说明!$B$4-L120)</f>
        <v/>
      </c>
      <c r="N120" s="14" t="s">
        <v>596</v>
      </c>
      <c r="O120" s="15"/>
      <c r="P120" s="15"/>
      <c r="Q120" s="14"/>
      <c r="R120" s="13" t="str">
        <f aca="false">IF(AND(P120="",O120=""),"",IF(OR(N(P120)&gt;=说明!$B$5,N(O120)&gt;=说明!$B$6),"大型",IF(OR(N(P120)&gt;=说明!$B$7,N(O120)&gt;=说明!$B$8),"中型","小型")))</f>
        <v/>
      </c>
      <c r="S120" s="14" t="s">
        <v>597</v>
      </c>
      <c r="T120" s="13"/>
      <c r="U120" s="15"/>
      <c r="V120" s="15"/>
      <c r="W120" s="13"/>
      <c r="X120" s="14"/>
      <c r="Y120" s="14"/>
      <c r="Z120" s="16" t="s">
        <v>598</v>
      </c>
      <c r="AA120" s="13" t="s">
        <v>118</v>
      </c>
      <c r="AB120" s="14"/>
    </row>
    <row r="121" customFormat="false" ht="48" hidden="false" customHeight="true" outlineLevel="0" collapsed="false">
      <c r="A121" s="13" t="n">
        <v>120</v>
      </c>
      <c r="B121" s="13" t="s">
        <v>68</v>
      </c>
      <c r="C121" s="14" t="s">
        <v>599</v>
      </c>
      <c r="D121" s="13"/>
      <c r="E121" s="13" t="s">
        <v>41</v>
      </c>
      <c r="F121" s="13" t="s">
        <v>97</v>
      </c>
      <c r="G121" s="13" t="s">
        <v>98</v>
      </c>
      <c r="H121" s="13"/>
      <c r="I121" s="14" t="s">
        <v>600</v>
      </c>
      <c r="J121" s="15"/>
      <c r="K121" s="14"/>
      <c r="L121" s="15"/>
      <c r="M121" s="13" t="str">
        <f aca="false">IF(L121="","",说明!$B$4-L121)</f>
        <v/>
      </c>
      <c r="N121" s="14"/>
      <c r="O121" s="15"/>
      <c r="P121" s="15"/>
      <c r="Q121" s="14"/>
      <c r="R121" s="13" t="str">
        <f aca="false">IF(AND(P121="",O121=""),"",IF(OR(N(P121)&gt;=说明!$B$5,N(O121)&gt;=说明!$B$6),"大型",IF(OR(N(P121)&gt;=说明!$B$7,N(O121)&gt;=说明!$B$8),"中型","小型")))</f>
        <v/>
      </c>
      <c r="S121" s="14" t="s">
        <v>601</v>
      </c>
      <c r="T121" s="13"/>
      <c r="U121" s="15"/>
      <c r="V121" s="15"/>
      <c r="W121" s="13"/>
      <c r="X121" s="14"/>
      <c r="Y121" s="14"/>
      <c r="Z121" s="16" t="s">
        <v>602</v>
      </c>
      <c r="AA121" s="13" t="s">
        <v>118</v>
      </c>
      <c r="AB121" s="14"/>
    </row>
    <row r="122" customFormat="false" ht="48" hidden="false" customHeight="true" outlineLevel="0" collapsed="false">
      <c r="A122" s="13" t="n">
        <v>121</v>
      </c>
      <c r="B122" s="13" t="s">
        <v>68</v>
      </c>
      <c r="C122" s="14" t="s">
        <v>603</v>
      </c>
      <c r="D122" s="13"/>
      <c r="E122" s="13" t="s">
        <v>40</v>
      </c>
      <c r="F122" s="13" t="s">
        <v>217</v>
      </c>
      <c r="G122" s="13" t="s">
        <v>98</v>
      </c>
      <c r="H122" s="13"/>
      <c r="I122" s="14"/>
      <c r="J122" s="15"/>
      <c r="K122" s="14"/>
      <c r="L122" s="15"/>
      <c r="M122" s="13" t="str">
        <f aca="false">IF(L122="","",说明!$B$4-L122)</f>
        <v/>
      </c>
      <c r="N122" s="14"/>
      <c r="O122" s="15"/>
      <c r="P122" s="15"/>
      <c r="Q122" s="14"/>
      <c r="R122" s="13" t="str">
        <f aca="false">IF(AND(P122="",O122=""),"",IF(OR(N(P122)&gt;=说明!$B$5,N(O122)&gt;=说明!$B$6),"大型",IF(OR(N(P122)&gt;=说明!$B$7,N(O122)&gt;=说明!$B$8),"中型","小型")))</f>
        <v/>
      </c>
      <c r="S122" s="14" t="s">
        <v>604</v>
      </c>
      <c r="T122" s="13"/>
      <c r="U122" s="15"/>
      <c r="V122" s="15"/>
      <c r="W122" s="13"/>
      <c r="X122" s="14"/>
      <c r="Y122" s="14"/>
      <c r="Z122" s="16" t="s">
        <v>605</v>
      </c>
      <c r="AA122" s="13" t="s">
        <v>118</v>
      </c>
      <c r="AB122" s="14"/>
    </row>
    <row r="123" customFormat="false" ht="48" hidden="false" customHeight="true" outlineLevel="0" collapsed="false">
      <c r="A123" s="13" t="n">
        <v>122</v>
      </c>
      <c r="B123" s="13" t="s">
        <v>68</v>
      </c>
      <c r="C123" s="14" t="s">
        <v>606</v>
      </c>
      <c r="D123" s="13" t="s">
        <v>606</v>
      </c>
      <c r="E123" s="13" t="s">
        <v>37</v>
      </c>
      <c r="F123" s="13" t="s">
        <v>131</v>
      </c>
      <c r="G123" s="13" t="s">
        <v>134</v>
      </c>
      <c r="H123" s="13"/>
      <c r="I123" s="14" t="s">
        <v>607</v>
      </c>
      <c r="J123" s="15"/>
      <c r="K123" s="14"/>
      <c r="L123" s="15"/>
      <c r="M123" s="13" t="str">
        <f aca="false">IF(L123="","",说明!$B$4-L123)</f>
        <v/>
      </c>
      <c r="N123" s="14"/>
      <c r="O123" s="15"/>
      <c r="P123" s="15"/>
      <c r="Q123" s="14"/>
      <c r="R123" s="13" t="str">
        <f aca="false">IF(AND(P123="",O123=""),"",IF(OR(N(P123)&gt;=说明!$B$5,N(O123)&gt;=说明!$B$6),"大型",IF(OR(N(P123)&gt;=说明!$B$7,N(O123)&gt;=说明!$B$8),"中型","小型")))</f>
        <v/>
      </c>
      <c r="S123" s="14"/>
      <c r="T123" s="13"/>
      <c r="U123" s="15"/>
      <c r="V123" s="15"/>
      <c r="W123" s="13"/>
      <c r="X123" s="14"/>
      <c r="Y123" s="14"/>
      <c r="Z123" s="16" t="s">
        <v>137</v>
      </c>
      <c r="AA123" s="13" t="s">
        <v>109</v>
      </c>
      <c r="AB123" s="14"/>
    </row>
    <row r="124" customFormat="false" ht="48" hidden="false" customHeight="true" outlineLevel="0" collapsed="false">
      <c r="A124" s="13" t="n">
        <v>123</v>
      </c>
      <c r="B124" s="13" t="s">
        <v>68</v>
      </c>
      <c r="C124" s="14" t="s">
        <v>608</v>
      </c>
      <c r="D124" s="13"/>
      <c r="E124" s="13" t="s">
        <v>42</v>
      </c>
      <c r="F124" s="13" t="s">
        <v>142</v>
      </c>
      <c r="G124" s="13" t="s">
        <v>98</v>
      </c>
      <c r="H124" s="13"/>
      <c r="I124" s="14"/>
      <c r="J124" s="15"/>
      <c r="K124" s="14"/>
      <c r="L124" s="15"/>
      <c r="M124" s="13" t="str">
        <f aca="false">IF(L124="","",说明!$B$4-L124)</f>
        <v/>
      </c>
      <c r="N124" s="14"/>
      <c r="O124" s="15"/>
      <c r="P124" s="15"/>
      <c r="Q124" s="14"/>
      <c r="R124" s="13" t="str">
        <f aca="false">IF(AND(P124="",O124=""),"",IF(OR(N(P124)&gt;=说明!$B$5,N(O124)&gt;=说明!$B$6),"大型",IF(OR(N(P124)&gt;=说明!$B$7,N(O124)&gt;=说明!$B$8),"中型","小型")))</f>
        <v/>
      </c>
      <c r="S124" s="14" t="s">
        <v>609</v>
      </c>
      <c r="T124" s="13"/>
      <c r="U124" s="15"/>
      <c r="V124" s="15"/>
      <c r="W124" s="13"/>
      <c r="X124" s="14"/>
      <c r="Y124" s="14"/>
      <c r="Z124" s="16" t="s">
        <v>610</v>
      </c>
      <c r="AA124" s="13" t="s">
        <v>118</v>
      </c>
      <c r="AB124" s="14"/>
    </row>
    <row r="125" customFormat="false" ht="48" hidden="false" customHeight="true" outlineLevel="0" collapsed="false">
      <c r="A125" s="13" t="n">
        <v>124</v>
      </c>
      <c r="B125" s="13" t="s">
        <v>69</v>
      </c>
      <c r="C125" s="14" t="s">
        <v>611</v>
      </c>
      <c r="D125" s="13"/>
      <c r="E125" s="13" t="s">
        <v>40</v>
      </c>
      <c r="F125" s="13" t="s">
        <v>217</v>
      </c>
      <c r="G125" s="13" t="s">
        <v>98</v>
      </c>
      <c r="H125" s="13"/>
      <c r="I125" s="14"/>
      <c r="J125" s="15"/>
      <c r="K125" s="14"/>
      <c r="L125" s="15"/>
      <c r="M125" s="13" t="str">
        <f aca="false">IF(L125="","",说明!$B$4-L125)</f>
        <v/>
      </c>
      <c r="N125" s="14"/>
      <c r="O125" s="15"/>
      <c r="P125" s="15"/>
      <c r="Q125" s="14"/>
      <c r="R125" s="13" t="str">
        <f aca="false">IF(AND(P125="",O125=""),"",IF(OR(N(P125)&gt;=说明!$B$5,N(O125)&gt;=说明!$B$6),"大型",IF(OR(N(P125)&gt;=说明!$B$7,N(O125)&gt;=说明!$B$8),"中型","小型")))</f>
        <v/>
      </c>
      <c r="S125" s="14" t="s">
        <v>612</v>
      </c>
      <c r="T125" s="13"/>
      <c r="U125" s="15"/>
      <c r="V125" s="15"/>
      <c r="W125" s="13"/>
      <c r="X125" s="14"/>
      <c r="Y125" s="14"/>
      <c r="Z125" s="16" t="s">
        <v>613</v>
      </c>
      <c r="AA125" s="13" t="s">
        <v>118</v>
      </c>
      <c r="AB125" s="14"/>
    </row>
    <row r="126" customFormat="false" ht="48" hidden="false" customHeight="true" outlineLevel="0" collapsed="false">
      <c r="A126" s="13" t="n">
        <v>125</v>
      </c>
      <c r="B126" s="13" t="s">
        <v>70</v>
      </c>
      <c r="C126" s="14" t="s">
        <v>614</v>
      </c>
      <c r="D126" s="13" t="s">
        <v>615</v>
      </c>
      <c r="E126" s="13" t="s">
        <v>37</v>
      </c>
      <c r="F126" s="13" t="s">
        <v>97</v>
      </c>
      <c r="G126" s="13" t="s">
        <v>98</v>
      </c>
      <c r="H126" s="13"/>
      <c r="I126" s="14"/>
      <c r="J126" s="15"/>
      <c r="K126" s="14"/>
      <c r="L126" s="15"/>
      <c r="M126" s="13" t="str">
        <f aca="false">IF(L126="","",说明!$B$4-L126)</f>
        <v/>
      </c>
      <c r="N126" s="14"/>
      <c r="O126" s="15"/>
      <c r="P126" s="15"/>
      <c r="Q126" s="14"/>
      <c r="R126" s="13" t="str">
        <f aca="false">IF(AND(P126="",O126=""),"",IF(OR(N(P126)&gt;=说明!$B$5,N(O126)&gt;=说明!$B$6),"大型",IF(OR(N(P126)&gt;=说明!$B$7,N(O126)&gt;=说明!$B$8),"中型","小型")))</f>
        <v/>
      </c>
      <c r="S126" s="14" t="s">
        <v>616</v>
      </c>
      <c r="T126" s="13"/>
      <c r="U126" s="15"/>
      <c r="V126" s="15"/>
      <c r="W126" s="13"/>
      <c r="X126" s="14"/>
      <c r="Y126" s="14"/>
      <c r="Z126" s="16" t="s">
        <v>617</v>
      </c>
      <c r="AA126" s="13" t="s">
        <v>109</v>
      </c>
      <c r="AB126" s="14" t="s">
        <v>618</v>
      </c>
    </row>
    <row r="127" customFormat="false" ht="48" hidden="false" customHeight="true" outlineLevel="0" collapsed="false">
      <c r="A127" s="13" t="n">
        <v>126</v>
      </c>
      <c r="B127" s="13" t="s">
        <v>70</v>
      </c>
      <c r="C127" s="14" t="s">
        <v>619</v>
      </c>
      <c r="D127" s="13"/>
      <c r="E127" s="13" t="s">
        <v>42</v>
      </c>
      <c r="F127" s="13" t="s">
        <v>97</v>
      </c>
      <c r="G127" s="13" t="s">
        <v>98</v>
      </c>
      <c r="H127" s="13"/>
      <c r="I127" s="14"/>
      <c r="J127" s="15"/>
      <c r="K127" s="14"/>
      <c r="L127" s="15"/>
      <c r="M127" s="13" t="str">
        <f aca="false">IF(L127="","",说明!$B$4-L127)</f>
        <v/>
      </c>
      <c r="N127" s="14"/>
      <c r="O127" s="15"/>
      <c r="P127" s="15"/>
      <c r="Q127" s="14"/>
      <c r="R127" s="13" t="str">
        <f aca="false">IF(AND(P127="",O127=""),"",IF(OR(N(P127)&gt;=说明!$B$5,N(O127)&gt;=说明!$B$6),"大型",IF(OR(N(P127)&gt;=说明!$B$7,N(O127)&gt;=说明!$B$8),"中型","小型")))</f>
        <v/>
      </c>
      <c r="S127" s="14" t="s">
        <v>620</v>
      </c>
      <c r="T127" s="13"/>
      <c r="U127" s="15"/>
      <c r="V127" s="15"/>
      <c r="W127" s="13"/>
      <c r="X127" s="14"/>
      <c r="Y127" s="14"/>
      <c r="Z127" s="16" t="s">
        <v>621</v>
      </c>
      <c r="AA127" s="13" t="s">
        <v>109</v>
      </c>
      <c r="AB127" s="14" t="s">
        <v>622</v>
      </c>
    </row>
    <row r="128" customFormat="false" ht="48" hidden="false" customHeight="true" outlineLevel="0" collapsed="false">
      <c r="A128" s="13" t="n">
        <v>127</v>
      </c>
      <c r="B128" s="13" t="s">
        <v>70</v>
      </c>
      <c r="C128" s="14" t="s">
        <v>623</v>
      </c>
      <c r="D128" s="13" t="s">
        <v>624</v>
      </c>
      <c r="E128" s="13" t="s">
        <v>36</v>
      </c>
      <c r="F128" s="13" t="s">
        <v>97</v>
      </c>
      <c r="G128" s="13" t="s">
        <v>98</v>
      </c>
      <c r="H128" s="13"/>
      <c r="I128" s="14"/>
      <c r="J128" s="15"/>
      <c r="K128" s="14"/>
      <c r="L128" s="15"/>
      <c r="M128" s="13" t="str">
        <f aca="false">IF(L128="","",说明!$B$4-L128)</f>
        <v/>
      </c>
      <c r="N128" s="14"/>
      <c r="O128" s="15"/>
      <c r="P128" s="15"/>
      <c r="Q128" s="14"/>
      <c r="R128" s="13" t="str">
        <f aca="false">IF(AND(P128="",O128=""),"",IF(OR(N(P128)&gt;=说明!$B$5,N(O128)&gt;=说明!$B$6),"大型",IF(OR(N(P128)&gt;=说明!$B$7,N(O128)&gt;=说明!$B$8),"中型","小型")))</f>
        <v/>
      </c>
      <c r="S128" s="14"/>
      <c r="T128" s="13" t="s">
        <v>625</v>
      </c>
      <c r="U128" s="15"/>
      <c r="V128" s="15"/>
      <c r="W128" s="13"/>
      <c r="X128" s="14"/>
      <c r="Y128" s="14"/>
      <c r="Z128" s="16" t="s">
        <v>626</v>
      </c>
      <c r="AA128" s="13" t="s">
        <v>118</v>
      </c>
      <c r="AB128" s="14" t="s">
        <v>627</v>
      </c>
    </row>
    <row r="129" customFormat="false" ht="48" hidden="false" customHeight="true" outlineLevel="0" collapsed="false">
      <c r="A129" s="13" t="n">
        <v>128</v>
      </c>
      <c r="B129" s="13" t="s">
        <v>70</v>
      </c>
      <c r="C129" s="14" t="s">
        <v>628</v>
      </c>
      <c r="D129" s="13" t="s">
        <v>629</v>
      </c>
      <c r="E129" s="13" t="s">
        <v>36</v>
      </c>
      <c r="F129" s="13" t="s">
        <v>97</v>
      </c>
      <c r="G129" s="13" t="s">
        <v>325</v>
      </c>
      <c r="H129" s="13"/>
      <c r="I129" s="14" t="s">
        <v>630</v>
      </c>
      <c r="J129" s="15"/>
      <c r="K129" s="14"/>
      <c r="L129" s="15"/>
      <c r="M129" s="13" t="str">
        <f aca="false">IF(L129="","",说明!$B$4-L129)</f>
        <v/>
      </c>
      <c r="N129" s="14"/>
      <c r="O129" s="13" t="n">
        <v>5</v>
      </c>
      <c r="P129" s="13" t="n">
        <v>70</v>
      </c>
      <c r="Q129" s="14" t="s">
        <v>631</v>
      </c>
      <c r="R129" s="13" t="str">
        <f aca="false">IF(AND(P129="",O129=""),"",IF(OR(N(P129)&gt;=说明!$B$5,N(O129)&gt;=说明!$B$6),"大型",IF(OR(N(P129)&gt;=说明!$B$7,N(O129)&gt;=说明!$B$8),"中型","小型")))</f>
        <v>小型</v>
      </c>
      <c r="S129" s="14" t="s">
        <v>632</v>
      </c>
      <c r="T129" s="13" t="s">
        <v>633</v>
      </c>
      <c r="U129" s="15"/>
      <c r="V129" s="15"/>
      <c r="W129" s="13"/>
      <c r="X129" s="14"/>
      <c r="Y129" s="14"/>
      <c r="Z129" s="16" t="s">
        <v>634</v>
      </c>
      <c r="AA129" s="13" t="s">
        <v>118</v>
      </c>
      <c r="AB129" s="14" t="s">
        <v>635</v>
      </c>
    </row>
    <row r="130" customFormat="false" ht="48" hidden="false" customHeight="true" outlineLevel="0" collapsed="false">
      <c r="A130" s="13" t="n">
        <v>129</v>
      </c>
      <c r="B130" s="13" t="s">
        <v>70</v>
      </c>
      <c r="C130" s="14" t="s">
        <v>636</v>
      </c>
      <c r="D130" s="13" t="s">
        <v>637</v>
      </c>
      <c r="E130" s="13" t="s">
        <v>36</v>
      </c>
      <c r="F130" s="13" t="s">
        <v>97</v>
      </c>
      <c r="G130" s="13" t="s">
        <v>98</v>
      </c>
      <c r="H130" s="13"/>
      <c r="I130" s="14"/>
      <c r="J130" s="15"/>
      <c r="K130" s="14"/>
      <c r="L130" s="13" t="n">
        <v>2007</v>
      </c>
      <c r="M130" s="13" t="n">
        <f aca="false">IF(L130="","",说明!$B$4-L130)</f>
        <v>19</v>
      </c>
      <c r="N130" s="14" t="s">
        <v>638</v>
      </c>
      <c r="O130" s="13" t="n">
        <v>16</v>
      </c>
      <c r="P130" s="13" t="n">
        <v>240</v>
      </c>
      <c r="Q130" s="14"/>
      <c r="R130" s="13" t="str">
        <f aca="false">IF(AND(P130="",O130=""),"",IF(OR(N(P130)&gt;=说明!$B$5,N(O130)&gt;=说明!$B$6),"大型",IF(OR(N(P130)&gt;=说明!$B$7,N(O130)&gt;=说明!$B$8),"中型","小型")))</f>
        <v>中型</v>
      </c>
      <c r="S130" s="14" t="s">
        <v>639</v>
      </c>
      <c r="T130" s="13"/>
      <c r="U130" s="15"/>
      <c r="V130" s="15"/>
      <c r="W130" s="13"/>
      <c r="X130" s="14"/>
      <c r="Y130" s="14" t="s">
        <v>640</v>
      </c>
      <c r="Z130" s="16" t="s">
        <v>641</v>
      </c>
      <c r="AA130" s="13" t="s">
        <v>118</v>
      </c>
      <c r="AB130" s="14" t="s">
        <v>642</v>
      </c>
    </row>
    <row r="131" customFormat="false" ht="48" hidden="false" customHeight="true" outlineLevel="0" collapsed="false">
      <c r="A131" s="13" t="n">
        <v>130</v>
      </c>
      <c r="B131" s="13" t="s">
        <v>70</v>
      </c>
      <c r="C131" s="14" t="s">
        <v>643</v>
      </c>
      <c r="D131" s="13" t="s">
        <v>644</v>
      </c>
      <c r="E131" s="13" t="s">
        <v>36</v>
      </c>
      <c r="F131" s="13" t="s">
        <v>97</v>
      </c>
      <c r="G131" s="13" t="s">
        <v>186</v>
      </c>
      <c r="H131" s="13"/>
      <c r="I131" s="14"/>
      <c r="J131" s="15"/>
      <c r="K131" s="14"/>
      <c r="L131" s="15"/>
      <c r="M131" s="13" t="str">
        <f aca="false">IF(L131="","",说明!$B$4-L131)</f>
        <v/>
      </c>
      <c r="N131" s="14"/>
      <c r="O131" s="15"/>
      <c r="P131" s="15"/>
      <c r="Q131" s="14" t="s">
        <v>645</v>
      </c>
      <c r="R131" s="13" t="str">
        <f aca="false">IF(AND(P131="",O131=""),"",IF(OR(N(P131)&gt;=说明!$B$5,N(O131)&gt;=说明!$B$6),"大型",IF(OR(N(P131)&gt;=说明!$B$7,N(O131)&gt;=说明!$B$8),"中型","小型")))</f>
        <v/>
      </c>
      <c r="S131" s="14" t="s">
        <v>646</v>
      </c>
      <c r="T131" s="13" t="s">
        <v>188</v>
      </c>
      <c r="U131" s="15"/>
      <c r="V131" s="15"/>
      <c r="W131" s="13"/>
      <c r="X131" s="14"/>
      <c r="Y131" s="14"/>
      <c r="Z131" s="16" t="s">
        <v>647</v>
      </c>
      <c r="AA131" s="13" t="s">
        <v>118</v>
      </c>
      <c r="AB131" s="14" t="s">
        <v>648</v>
      </c>
    </row>
    <row r="132" customFormat="false" ht="48" hidden="false" customHeight="true" outlineLevel="0" collapsed="false">
      <c r="A132" s="13" t="n">
        <v>131</v>
      </c>
      <c r="B132" s="13" t="s">
        <v>70</v>
      </c>
      <c r="C132" s="14" t="s">
        <v>649</v>
      </c>
      <c r="D132" s="13" t="s">
        <v>650</v>
      </c>
      <c r="E132" s="13" t="s">
        <v>39</v>
      </c>
      <c r="F132" s="13" t="s">
        <v>97</v>
      </c>
      <c r="G132" s="13" t="s">
        <v>325</v>
      </c>
      <c r="H132" s="13"/>
      <c r="I132" s="14" t="s">
        <v>651</v>
      </c>
      <c r="J132" s="15"/>
      <c r="K132" s="14"/>
      <c r="L132" s="15"/>
      <c r="M132" s="13" t="str">
        <f aca="false">IF(L132="","",说明!$B$4-L132)</f>
        <v/>
      </c>
      <c r="N132" s="14" t="s">
        <v>652</v>
      </c>
      <c r="O132" s="15"/>
      <c r="P132" s="15"/>
      <c r="Q132" s="14"/>
      <c r="R132" s="13" t="str">
        <f aca="false">IF(AND(P132="",O132=""),"",IF(OR(N(P132)&gt;=说明!$B$5,N(O132)&gt;=说明!$B$6),"大型",IF(OR(N(P132)&gt;=说明!$B$7,N(O132)&gt;=说明!$B$8),"中型","小型")))</f>
        <v/>
      </c>
      <c r="S132" s="14" t="s">
        <v>653</v>
      </c>
      <c r="T132" s="13"/>
      <c r="U132" s="15"/>
      <c r="V132" s="15"/>
      <c r="W132" s="13"/>
      <c r="X132" s="14"/>
      <c r="Y132" s="14"/>
      <c r="Z132" s="16" t="s">
        <v>654</v>
      </c>
      <c r="AA132" s="13" t="s">
        <v>118</v>
      </c>
      <c r="AB132" s="14" t="s">
        <v>655</v>
      </c>
    </row>
    <row r="133" customFormat="false" ht="48" hidden="false" customHeight="true" outlineLevel="0" collapsed="false">
      <c r="A133" s="13" t="n">
        <v>132</v>
      </c>
      <c r="B133" s="13" t="s">
        <v>70</v>
      </c>
      <c r="C133" s="14" t="s">
        <v>656</v>
      </c>
      <c r="D133" s="13" t="s">
        <v>657</v>
      </c>
      <c r="E133" s="13" t="s">
        <v>39</v>
      </c>
      <c r="F133" s="13" t="s">
        <v>97</v>
      </c>
      <c r="G133" s="13" t="s">
        <v>325</v>
      </c>
      <c r="H133" s="13"/>
      <c r="I133" s="14"/>
      <c r="J133" s="15"/>
      <c r="K133" s="14"/>
      <c r="L133" s="13" t="n">
        <v>2017</v>
      </c>
      <c r="M133" s="13" t="n">
        <f aca="false">IF(L133="","",说明!$B$4-L133)</f>
        <v>9</v>
      </c>
      <c r="N133" s="14" t="s">
        <v>658</v>
      </c>
      <c r="O133" s="13" t="n">
        <v>32</v>
      </c>
      <c r="P133" s="13" t="n">
        <v>1410</v>
      </c>
      <c r="Q133" s="14"/>
      <c r="R133" s="13" t="str">
        <f aca="false">IF(AND(P133="",O133=""),"",IF(OR(N(P133)&gt;=说明!$B$5,N(O133)&gt;=说明!$B$6),"大型",IF(OR(N(P133)&gt;=说明!$B$7,N(O133)&gt;=说明!$B$8),"中型","小型")))</f>
        <v>大型</v>
      </c>
      <c r="S133" s="14" t="s">
        <v>659</v>
      </c>
      <c r="T133" s="13" t="s">
        <v>106</v>
      </c>
      <c r="U133" s="15"/>
      <c r="V133" s="15"/>
      <c r="W133" s="13"/>
      <c r="X133" s="14"/>
      <c r="Y133" s="14" t="s">
        <v>660</v>
      </c>
      <c r="Z133" s="16" t="s">
        <v>661</v>
      </c>
      <c r="AA133" s="13" t="s">
        <v>109</v>
      </c>
      <c r="AB133" s="14" t="s">
        <v>662</v>
      </c>
    </row>
    <row r="134" customFormat="false" ht="48" hidden="false" customHeight="true" outlineLevel="0" collapsed="false">
      <c r="A134" s="13" t="n">
        <v>133</v>
      </c>
      <c r="B134" s="13" t="s">
        <v>70</v>
      </c>
      <c r="C134" s="14" t="s">
        <v>663</v>
      </c>
      <c r="D134" s="13" t="s">
        <v>664</v>
      </c>
      <c r="E134" s="13" t="s">
        <v>39</v>
      </c>
      <c r="F134" s="13" t="s">
        <v>97</v>
      </c>
      <c r="G134" s="13" t="s">
        <v>325</v>
      </c>
      <c r="H134" s="13"/>
      <c r="I134" s="14"/>
      <c r="J134" s="15"/>
      <c r="K134" s="14"/>
      <c r="L134" s="13" t="n">
        <v>2015</v>
      </c>
      <c r="M134" s="13" t="n">
        <f aca="false">IF(L134="","",说明!$B$4-L134)</f>
        <v>11</v>
      </c>
      <c r="N134" s="14" t="s">
        <v>665</v>
      </c>
      <c r="O134" s="15"/>
      <c r="P134" s="15"/>
      <c r="Q134" s="14"/>
      <c r="R134" s="13" t="str">
        <f aca="false">IF(AND(P134="",O134=""),"",IF(OR(N(P134)&gt;=说明!$B$5,N(O134)&gt;=说明!$B$6),"大型",IF(OR(N(P134)&gt;=说明!$B$7,N(O134)&gt;=说明!$B$8),"中型","小型")))</f>
        <v/>
      </c>
      <c r="S134" s="14"/>
      <c r="T134" s="13" t="s">
        <v>666</v>
      </c>
      <c r="U134" s="15"/>
      <c r="V134" s="15"/>
      <c r="W134" s="13"/>
      <c r="X134" s="14"/>
      <c r="Y134" s="14"/>
      <c r="Z134" s="16" t="s">
        <v>667</v>
      </c>
      <c r="AA134" s="13" t="s">
        <v>118</v>
      </c>
      <c r="AB134" s="14"/>
    </row>
    <row r="135" customFormat="false" ht="48" hidden="false" customHeight="true" outlineLevel="0" collapsed="false">
      <c r="A135" s="13" t="n">
        <v>134</v>
      </c>
      <c r="B135" s="13" t="s">
        <v>70</v>
      </c>
      <c r="C135" s="14" t="s">
        <v>668</v>
      </c>
      <c r="D135" s="13" t="s">
        <v>669</v>
      </c>
      <c r="E135" s="13" t="s">
        <v>39</v>
      </c>
      <c r="F135" s="13" t="s">
        <v>97</v>
      </c>
      <c r="G135" s="13" t="s">
        <v>98</v>
      </c>
      <c r="H135" s="13"/>
      <c r="I135" s="14"/>
      <c r="J135" s="15"/>
      <c r="K135" s="14"/>
      <c r="L135" s="15"/>
      <c r="M135" s="13" t="str">
        <f aca="false">IF(L135="","",说明!$B$4-L135)</f>
        <v/>
      </c>
      <c r="N135" s="14"/>
      <c r="O135" s="15"/>
      <c r="P135" s="15"/>
      <c r="Q135" s="14"/>
      <c r="R135" s="13" t="str">
        <f aca="false">IF(AND(P135="",O135=""),"",IF(OR(N(P135)&gt;=说明!$B$5,N(O135)&gt;=说明!$B$6),"大型",IF(OR(N(P135)&gt;=说明!$B$7,N(O135)&gt;=说明!$B$8),"中型","小型")))</f>
        <v/>
      </c>
      <c r="S135" s="14"/>
      <c r="T135" s="13"/>
      <c r="U135" s="15"/>
      <c r="V135" s="15"/>
      <c r="W135" s="13"/>
      <c r="X135" s="14" t="s">
        <v>670</v>
      </c>
      <c r="Y135" s="14"/>
      <c r="Z135" s="16" t="s">
        <v>671</v>
      </c>
      <c r="AA135" s="13" t="s">
        <v>118</v>
      </c>
      <c r="AB135" s="14" t="s">
        <v>672</v>
      </c>
    </row>
    <row r="136" customFormat="false" ht="48" hidden="false" customHeight="true" outlineLevel="0" collapsed="false">
      <c r="A136" s="13" t="n">
        <v>135</v>
      </c>
      <c r="B136" s="13" t="s">
        <v>70</v>
      </c>
      <c r="C136" s="14" t="s">
        <v>673</v>
      </c>
      <c r="D136" s="13" t="s">
        <v>674</v>
      </c>
      <c r="E136" s="13" t="s">
        <v>38</v>
      </c>
      <c r="F136" s="13" t="s">
        <v>97</v>
      </c>
      <c r="G136" s="13" t="s">
        <v>170</v>
      </c>
      <c r="H136" s="13"/>
      <c r="I136" s="14" t="s">
        <v>675</v>
      </c>
      <c r="J136" s="15"/>
      <c r="K136" s="14" t="s">
        <v>676</v>
      </c>
      <c r="L136" s="13" t="n">
        <v>2018</v>
      </c>
      <c r="M136" s="13" t="n">
        <f aca="false">IF(L136="","",说明!$B$4-L136)</f>
        <v>8</v>
      </c>
      <c r="N136" s="14" t="s">
        <v>677</v>
      </c>
      <c r="O136" s="15"/>
      <c r="P136" s="13" t="n">
        <v>260</v>
      </c>
      <c r="Q136" s="14"/>
      <c r="R136" s="13" t="str">
        <f aca="false">IF(AND(P136="",O136=""),"",IF(OR(N(P136)&gt;=说明!$B$5,N(O136)&gt;=说明!$B$6),"大型",IF(OR(N(P136)&gt;=说明!$B$7,N(O136)&gt;=说明!$B$8),"中型","小型")))</f>
        <v>中型</v>
      </c>
      <c r="S136" s="14" t="s">
        <v>678</v>
      </c>
      <c r="T136" s="13" t="s">
        <v>679</v>
      </c>
      <c r="U136" s="15"/>
      <c r="V136" s="15"/>
      <c r="W136" s="13"/>
      <c r="X136" s="14"/>
      <c r="Y136" s="14" t="s">
        <v>680</v>
      </c>
      <c r="Z136" s="16" t="s">
        <v>681</v>
      </c>
      <c r="AA136" s="13" t="s">
        <v>362</v>
      </c>
      <c r="AB136" s="14" t="s">
        <v>682</v>
      </c>
    </row>
    <row r="137" customFormat="false" ht="48" hidden="false" customHeight="true" outlineLevel="0" collapsed="false">
      <c r="A137" s="13" t="n">
        <v>136</v>
      </c>
      <c r="B137" s="13" t="s">
        <v>70</v>
      </c>
      <c r="C137" s="14" t="s">
        <v>683</v>
      </c>
      <c r="D137" s="13" t="s">
        <v>434</v>
      </c>
      <c r="E137" s="13" t="s">
        <v>40</v>
      </c>
      <c r="F137" s="13" t="s">
        <v>217</v>
      </c>
      <c r="G137" s="13" t="s">
        <v>170</v>
      </c>
      <c r="H137" s="13"/>
      <c r="I137" s="14" t="s">
        <v>684</v>
      </c>
      <c r="J137" s="15"/>
      <c r="K137" s="14" t="s">
        <v>685</v>
      </c>
      <c r="L137" s="13" t="n">
        <v>1992</v>
      </c>
      <c r="M137" s="13" t="n">
        <f aca="false">IF(L137="","",说明!$B$4-L137)</f>
        <v>34</v>
      </c>
      <c r="N137" s="14" t="s">
        <v>686</v>
      </c>
      <c r="O137" s="15"/>
      <c r="P137" s="15"/>
      <c r="Q137" s="14" t="s">
        <v>687</v>
      </c>
      <c r="R137" s="13" t="str">
        <f aca="false">IF(AND(P137="",O137=""),"",IF(OR(N(P137)&gt;=说明!$B$5,N(O137)&gt;=说明!$B$6),"大型",IF(OR(N(P137)&gt;=说明!$B$7,N(O137)&gt;=说明!$B$8),"中型","小型")))</f>
        <v/>
      </c>
      <c r="S137" s="14" t="s">
        <v>688</v>
      </c>
      <c r="T137" s="13"/>
      <c r="U137" s="15"/>
      <c r="V137" s="15"/>
      <c r="W137" s="13"/>
      <c r="X137" s="14"/>
      <c r="Y137" s="14" t="s">
        <v>689</v>
      </c>
      <c r="Z137" s="16" t="s">
        <v>690</v>
      </c>
      <c r="AA137" s="13" t="s">
        <v>362</v>
      </c>
      <c r="AB137" s="14"/>
    </row>
    <row r="138" customFormat="false" ht="48" hidden="false" customHeight="true" outlineLevel="0" collapsed="false">
      <c r="A138" s="13" t="n">
        <v>137</v>
      </c>
      <c r="B138" s="13" t="s">
        <v>70</v>
      </c>
      <c r="C138" s="14" t="s">
        <v>691</v>
      </c>
      <c r="D138" s="13" t="s">
        <v>692</v>
      </c>
      <c r="E138" s="13" t="s">
        <v>40</v>
      </c>
      <c r="F138" s="13" t="s">
        <v>217</v>
      </c>
      <c r="G138" s="13" t="s">
        <v>170</v>
      </c>
      <c r="H138" s="13"/>
      <c r="I138" s="14" t="s">
        <v>693</v>
      </c>
      <c r="J138" s="15"/>
      <c r="K138" s="14"/>
      <c r="L138" s="13" t="n">
        <v>2002</v>
      </c>
      <c r="M138" s="13" t="n">
        <f aca="false">IF(L138="","",说明!$B$4-L138)</f>
        <v>24</v>
      </c>
      <c r="N138" s="14" t="s">
        <v>694</v>
      </c>
      <c r="O138" s="15"/>
      <c r="P138" s="13" t="n">
        <v>260</v>
      </c>
      <c r="Q138" s="14" t="s">
        <v>695</v>
      </c>
      <c r="R138" s="13" t="str">
        <f aca="false">IF(AND(P138="",O138=""),"",IF(OR(N(P138)&gt;=说明!$B$5,N(O138)&gt;=说明!$B$6),"大型",IF(OR(N(P138)&gt;=说明!$B$7,N(O138)&gt;=说明!$B$8),"中型","小型")))</f>
        <v>中型</v>
      </c>
      <c r="S138" s="14" t="s">
        <v>696</v>
      </c>
      <c r="T138" s="13" t="s">
        <v>697</v>
      </c>
      <c r="U138" s="15"/>
      <c r="V138" s="15"/>
      <c r="W138" s="13"/>
      <c r="X138" s="14"/>
      <c r="Y138" s="14" t="s">
        <v>698</v>
      </c>
      <c r="Z138" s="16" t="s">
        <v>699</v>
      </c>
      <c r="AA138" s="13" t="s">
        <v>109</v>
      </c>
      <c r="AB138" s="14"/>
    </row>
    <row r="139" customFormat="false" ht="48" hidden="false" customHeight="true" outlineLevel="0" collapsed="false">
      <c r="A139" s="13" t="n">
        <v>138</v>
      </c>
      <c r="B139" s="13" t="s">
        <v>70</v>
      </c>
      <c r="C139" s="14" t="s">
        <v>700</v>
      </c>
      <c r="D139" s="13" t="s">
        <v>701</v>
      </c>
      <c r="E139" s="13" t="s">
        <v>36</v>
      </c>
      <c r="F139" s="13" t="s">
        <v>142</v>
      </c>
      <c r="G139" s="13" t="s">
        <v>98</v>
      </c>
      <c r="H139" s="13"/>
      <c r="I139" s="14" t="s">
        <v>702</v>
      </c>
      <c r="J139" s="15"/>
      <c r="K139" s="14"/>
      <c r="L139" s="15"/>
      <c r="M139" s="13" t="str">
        <f aca="false">IF(L139="","",说明!$B$4-L139)</f>
        <v/>
      </c>
      <c r="N139" s="14"/>
      <c r="O139" s="15"/>
      <c r="P139" s="15"/>
      <c r="Q139" s="14" t="s">
        <v>703</v>
      </c>
      <c r="R139" s="13" t="str">
        <f aca="false">IF(AND(P139="",O139=""),"",IF(OR(N(P139)&gt;=说明!$B$5,N(O139)&gt;=说明!$B$6),"大型",IF(OR(N(P139)&gt;=说明!$B$7,N(O139)&gt;=说明!$B$8),"中型","小型")))</f>
        <v/>
      </c>
      <c r="S139" s="14" t="s">
        <v>704</v>
      </c>
      <c r="T139" s="13" t="s">
        <v>705</v>
      </c>
      <c r="U139" s="15"/>
      <c r="V139" s="15"/>
      <c r="W139" s="13"/>
      <c r="X139" s="14"/>
      <c r="Y139" s="14"/>
      <c r="Z139" s="16" t="s">
        <v>706</v>
      </c>
      <c r="AA139" s="13" t="s">
        <v>118</v>
      </c>
      <c r="AB139" s="14" t="s">
        <v>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4"/>
    <col collapsed="false" customWidth="true" hidden="false" outlineLevel="0" max="4" min="4" style="0" width="44"/>
    <col collapsed="false" customWidth="true" hidden="false" outlineLevel="0" max="5" min="5" style="0" width="16"/>
    <col collapsed="false" customWidth="true" hidden="false" outlineLevel="0" max="6" min="6" style="0" width="40"/>
    <col collapsed="false" customWidth="true" hidden="false" outlineLevel="0" max="7" min="7" style="0" width="30"/>
  </cols>
  <sheetData>
    <row r="1" customFormat="false" ht="15" hidden="false" customHeight="false" outlineLevel="0" collapsed="false">
      <c r="A1" s="17" t="s">
        <v>72</v>
      </c>
      <c r="B1" s="17" t="s">
        <v>34</v>
      </c>
      <c r="C1" s="17" t="s">
        <v>708</v>
      </c>
      <c r="D1" s="17" t="s">
        <v>709</v>
      </c>
      <c r="E1" s="17" t="s">
        <v>710</v>
      </c>
      <c r="F1" s="17" t="s">
        <v>711</v>
      </c>
      <c r="G1" s="17" t="s">
        <v>712</v>
      </c>
    </row>
    <row r="2" customFormat="false" ht="15" hidden="false" customHeight="false" outlineLevel="0" collapsed="false">
      <c r="A2" s="13" t="n">
        <v>1</v>
      </c>
      <c r="B2" s="13" t="s">
        <v>47</v>
      </c>
      <c r="C2" s="14" t="s">
        <v>713</v>
      </c>
      <c r="D2" s="14" t="s">
        <v>714</v>
      </c>
      <c r="E2" s="13"/>
      <c r="F2" s="14" t="s">
        <v>137</v>
      </c>
      <c r="G2" s="14"/>
    </row>
    <row r="3" customFormat="false" ht="15" hidden="false" customHeight="false" outlineLevel="0" collapsed="false">
      <c r="A3" s="13" t="n">
        <v>2</v>
      </c>
      <c r="B3" s="13" t="s">
        <v>47</v>
      </c>
      <c r="C3" s="14" t="s">
        <v>715</v>
      </c>
      <c r="D3" s="14" t="s">
        <v>716</v>
      </c>
      <c r="E3" s="13"/>
      <c r="F3" s="14" t="s">
        <v>137</v>
      </c>
      <c r="G3" s="14"/>
    </row>
    <row r="4" customFormat="false" ht="15" hidden="false" customHeight="false" outlineLevel="0" collapsed="false">
      <c r="A4" s="13" t="n">
        <v>3</v>
      </c>
      <c r="B4" s="13" t="s">
        <v>47</v>
      </c>
      <c r="C4" s="14" t="s">
        <v>717</v>
      </c>
      <c r="D4" s="14" t="s">
        <v>718</v>
      </c>
      <c r="E4" s="13" t="s">
        <v>154</v>
      </c>
      <c r="F4" s="14" t="s">
        <v>137</v>
      </c>
      <c r="G4" s="14"/>
    </row>
    <row r="5" customFormat="false" ht="15" hidden="false" customHeight="false" outlineLevel="0" collapsed="false">
      <c r="A5" s="13" t="n">
        <v>4</v>
      </c>
      <c r="B5" s="13" t="s">
        <v>47</v>
      </c>
      <c r="C5" s="14" t="s">
        <v>719</v>
      </c>
      <c r="D5" s="14"/>
      <c r="E5" s="13"/>
      <c r="F5" s="14" t="s">
        <v>720</v>
      </c>
      <c r="G5" s="14"/>
    </row>
    <row r="6" customFormat="false" ht="15" hidden="false" customHeight="false" outlineLevel="0" collapsed="false">
      <c r="A6" s="13" t="n">
        <v>5</v>
      </c>
      <c r="B6" s="13" t="s">
        <v>47</v>
      </c>
      <c r="C6" s="14" t="s">
        <v>721</v>
      </c>
      <c r="D6" s="14"/>
      <c r="E6" s="13"/>
      <c r="F6" s="14" t="s">
        <v>722</v>
      </c>
      <c r="G6" s="14"/>
    </row>
    <row r="7" customFormat="false" ht="15" hidden="false" customHeight="false" outlineLevel="0" collapsed="false">
      <c r="A7" s="13" t="n">
        <v>6</v>
      </c>
      <c r="B7" s="13" t="s">
        <v>47</v>
      </c>
      <c r="C7" s="14" t="s">
        <v>723</v>
      </c>
      <c r="D7" s="14"/>
      <c r="E7" s="13"/>
      <c r="F7" s="14" t="s">
        <v>724</v>
      </c>
      <c r="G7" s="14"/>
    </row>
    <row r="8" customFormat="false" ht="15" hidden="false" customHeight="false" outlineLevel="0" collapsed="false">
      <c r="A8" s="13" t="n">
        <v>7</v>
      </c>
      <c r="B8" s="13" t="s">
        <v>47</v>
      </c>
      <c r="C8" s="14" t="s">
        <v>725</v>
      </c>
      <c r="D8" s="14"/>
      <c r="E8" s="13"/>
      <c r="F8" s="14" t="s">
        <v>726</v>
      </c>
      <c r="G8" s="14"/>
    </row>
    <row r="9" customFormat="false" ht="15" hidden="false" customHeight="false" outlineLevel="0" collapsed="false">
      <c r="A9" s="13" t="n">
        <v>8</v>
      </c>
      <c r="B9" s="13" t="s">
        <v>47</v>
      </c>
      <c r="C9" s="14" t="s">
        <v>727</v>
      </c>
      <c r="D9" s="14" t="s">
        <v>728</v>
      </c>
      <c r="E9" s="13"/>
      <c r="F9" s="14" t="s">
        <v>137</v>
      </c>
      <c r="G9" s="14"/>
    </row>
    <row r="10" customFormat="false" ht="15" hidden="false" customHeight="false" outlineLevel="0" collapsed="false">
      <c r="A10" s="13" t="n">
        <v>9</v>
      </c>
      <c r="B10" s="13" t="s">
        <v>47</v>
      </c>
      <c r="C10" s="14" t="s">
        <v>729</v>
      </c>
      <c r="D10" s="14" t="s">
        <v>730</v>
      </c>
      <c r="E10" s="13"/>
      <c r="F10" s="14" t="s">
        <v>137</v>
      </c>
      <c r="G10" s="14"/>
    </row>
    <row r="11" customFormat="false" ht="15" hidden="false" customHeight="false" outlineLevel="0" collapsed="false">
      <c r="A11" s="13" t="n">
        <v>10</v>
      </c>
      <c r="B11" s="13" t="s">
        <v>48</v>
      </c>
      <c r="C11" s="14" t="s">
        <v>731</v>
      </c>
      <c r="D11" s="14"/>
      <c r="E11" s="13"/>
      <c r="F11" s="14" t="s">
        <v>732</v>
      </c>
      <c r="G11" s="14"/>
    </row>
    <row r="12" customFormat="false" ht="15" hidden="false" customHeight="false" outlineLevel="0" collapsed="false">
      <c r="A12" s="13" t="n">
        <v>11</v>
      </c>
      <c r="B12" s="13" t="s">
        <v>48</v>
      </c>
      <c r="C12" s="14" t="s">
        <v>733</v>
      </c>
      <c r="D12" s="14"/>
      <c r="E12" s="13"/>
      <c r="F12" s="14" t="s">
        <v>734</v>
      </c>
      <c r="G12" s="14"/>
    </row>
    <row r="13" customFormat="false" ht="15" hidden="false" customHeight="false" outlineLevel="0" collapsed="false">
      <c r="A13" s="13" t="n">
        <v>12</v>
      </c>
      <c r="B13" s="13" t="s">
        <v>48</v>
      </c>
      <c r="C13" s="14" t="s">
        <v>735</v>
      </c>
      <c r="D13" s="14"/>
      <c r="E13" s="13"/>
      <c r="F13" s="14" t="s">
        <v>736</v>
      </c>
      <c r="G13" s="14"/>
    </row>
    <row r="14" customFormat="false" ht="15" hidden="false" customHeight="false" outlineLevel="0" collapsed="false">
      <c r="A14" s="13" t="n">
        <v>13</v>
      </c>
      <c r="B14" s="13" t="s">
        <v>48</v>
      </c>
      <c r="C14" s="14" t="s">
        <v>737</v>
      </c>
      <c r="D14" s="14" t="s">
        <v>738</v>
      </c>
      <c r="E14" s="13"/>
      <c r="F14" s="14" t="s">
        <v>137</v>
      </c>
      <c r="G14" s="14"/>
    </row>
    <row r="15" customFormat="false" ht="15" hidden="false" customHeight="false" outlineLevel="0" collapsed="false">
      <c r="A15" s="13" t="n">
        <v>14</v>
      </c>
      <c r="B15" s="13" t="s">
        <v>48</v>
      </c>
      <c r="C15" s="14" t="s">
        <v>739</v>
      </c>
      <c r="D15" s="14" t="s">
        <v>740</v>
      </c>
      <c r="E15" s="13"/>
      <c r="F15" s="14" t="s">
        <v>137</v>
      </c>
      <c r="G15" s="14"/>
    </row>
    <row r="16" customFormat="false" ht="15" hidden="false" customHeight="false" outlineLevel="0" collapsed="false">
      <c r="A16" s="13" t="n">
        <v>15</v>
      </c>
      <c r="B16" s="13" t="s">
        <v>48</v>
      </c>
      <c r="C16" s="14" t="s">
        <v>741</v>
      </c>
      <c r="D16" s="14" t="s">
        <v>742</v>
      </c>
      <c r="E16" s="13"/>
      <c r="F16" s="14" t="s">
        <v>137</v>
      </c>
      <c r="G16" s="14"/>
    </row>
    <row r="17" customFormat="false" ht="15" hidden="false" customHeight="false" outlineLevel="0" collapsed="false">
      <c r="A17" s="13" t="n">
        <v>16</v>
      </c>
      <c r="B17" s="13" t="s">
        <v>48</v>
      </c>
      <c r="C17" s="14" t="s">
        <v>743</v>
      </c>
      <c r="D17" s="14" t="s">
        <v>744</v>
      </c>
      <c r="E17" s="13" t="s">
        <v>745</v>
      </c>
      <c r="F17" s="14" t="s">
        <v>137</v>
      </c>
      <c r="G17" s="14"/>
    </row>
    <row r="18" customFormat="false" ht="15" hidden="false" customHeight="false" outlineLevel="0" collapsed="false">
      <c r="A18" s="13" t="n">
        <v>17</v>
      </c>
      <c r="B18" s="13" t="s">
        <v>49</v>
      </c>
      <c r="C18" s="14" t="s">
        <v>746</v>
      </c>
      <c r="D18" s="14"/>
      <c r="E18" s="13"/>
      <c r="F18" s="14" t="s">
        <v>747</v>
      </c>
      <c r="G18" s="14"/>
    </row>
    <row r="19" customFormat="false" ht="15" hidden="false" customHeight="false" outlineLevel="0" collapsed="false">
      <c r="A19" s="13" t="n">
        <v>18</v>
      </c>
      <c r="B19" s="13" t="s">
        <v>49</v>
      </c>
      <c r="C19" s="14" t="s">
        <v>748</v>
      </c>
      <c r="D19" s="14"/>
      <c r="E19" s="13"/>
      <c r="F19" s="14" t="s">
        <v>749</v>
      </c>
      <c r="G19" s="14"/>
    </row>
    <row r="20" customFormat="false" ht="15" hidden="false" customHeight="false" outlineLevel="0" collapsed="false">
      <c r="A20" s="13" t="n">
        <v>19</v>
      </c>
      <c r="B20" s="13" t="s">
        <v>49</v>
      </c>
      <c r="C20" s="14" t="s">
        <v>750</v>
      </c>
      <c r="D20" s="14" t="s">
        <v>751</v>
      </c>
      <c r="E20" s="13"/>
      <c r="F20" s="14" t="s">
        <v>137</v>
      </c>
      <c r="G20" s="14"/>
    </row>
    <row r="21" customFormat="false" ht="15" hidden="false" customHeight="false" outlineLevel="0" collapsed="false">
      <c r="A21" s="13" t="n">
        <v>20</v>
      </c>
      <c r="B21" s="13" t="s">
        <v>49</v>
      </c>
      <c r="C21" s="14" t="s">
        <v>752</v>
      </c>
      <c r="D21" s="14" t="s">
        <v>753</v>
      </c>
      <c r="E21" s="13"/>
      <c r="F21" s="14" t="s">
        <v>137</v>
      </c>
      <c r="G21" s="14"/>
    </row>
    <row r="22" customFormat="false" ht="15" hidden="false" customHeight="false" outlineLevel="0" collapsed="false">
      <c r="A22" s="13" t="n">
        <v>21</v>
      </c>
      <c r="B22" s="13" t="s">
        <v>49</v>
      </c>
      <c r="C22" s="14" t="s">
        <v>754</v>
      </c>
      <c r="D22" s="14"/>
      <c r="E22" s="13"/>
      <c r="F22" s="14" t="s">
        <v>755</v>
      </c>
      <c r="G22" s="14"/>
    </row>
    <row r="23" customFormat="false" ht="15" hidden="false" customHeight="false" outlineLevel="0" collapsed="false">
      <c r="A23" s="13" t="n">
        <v>22</v>
      </c>
      <c r="B23" s="13" t="s">
        <v>49</v>
      </c>
      <c r="C23" s="14" t="s">
        <v>756</v>
      </c>
      <c r="D23" s="14" t="s">
        <v>757</v>
      </c>
      <c r="E23" s="13"/>
      <c r="F23" s="14" t="s">
        <v>137</v>
      </c>
      <c r="G23" s="14"/>
    </row>
    <row r="24" customFormat="false" ht="15" hidden="false" customHeight="false" outlineLevel="0" collapsed="false">
      <c r="A24" s="13" t="n">
        <v>23</v>
      </c>
      <c r="B24" s="13" t="s">
        <v>49</v>
      </c>
      <c r="C24" s="14" t="s">
        <v>758</v>
      </c>
      <c r="D24" s="14" t="s">
        <v>759</v>
      </c>
      <c r="E24" s="13"/>
      <c r="F24" s="14" t="s">
        <v>137</v>
      </c>
      <c r="G24" s="14"/>
    </row>
    <row r="25" customFormat="false" ht="15" hidden="false" customHeight="false" outlineLevel="0" collapsed="false">
      <c r="A25" s="13" t="n">
        <v>24</v>
      </c>
      <c r="B25" s="13" t="s">
        <v>49</v>
      </c>
      <c r="C25" s="14" t="s">
        <v>760</v>
      </c>
      <c r="D25" s="14" t="s">
        <v>761</v>
      </c>
      <c r="E25" s="13" t="s">
        <v>762</v>
      </c>
      <c r="F25" s="14" t="s">
        <v>137</v>
      </c>
      <c r="G25" s="14"/>
    </row>
    <row r="26" customFormat="false" ht="15" hidden="false" customHeight="false" outlineLevel="0" collapsed="false">
      <c r="A26" s="13" t="n">
        <v>25</v>
      </c>
      <c r="B26" s="13" t="s">
        <v>49</v>
      </c>
      <c r="C26" s="14" t="s">
        <v>763</v>
      </c>
      <c r="D26" s="14" t="s">
        <v>764</v>
      </c>
      <c r="E26" s="13"/>
      <c r="F26" s="14" t="s">
        <v>137</v>
      </c>
      <c r="G26" s="14"/>
    </row>
    <row r="27" customFormat="false" ht="15" hidden="false" customHeight="false" outlineLevel="0" collapsed="false">
      <c r="A27" s="13" t="n">
        <v>26</v>
      </c>
      <c r="B27" s="13" t="s">
        <v>49</v>
      </c>
      <c r="C27" s="14" t="s">
        <v>765</v>
      </c>
      <c r="D27" s="14"/>
      <c r="E27" s="13"/>
      <c r="F27" s="14" t="s">
        <v>766</v>
      </c>
      <c r="G27" s="14"/>
    </row>
    <row r="28" customFormat="false" ht="15" hidden="false" customHeight="false" outlineLevel="0" collapsed="false">
      <c r="A28" s="13" t="n">
        <v>27</v>
      </c>
      <c r="B28" s="13" t="s">
        <v>49</v>
      </c>
      <c r="C28" s="14" t="s">
        <v>767</v>
      </c>
      <c r="D28" s="14" t="s">
        <v>768</v>
      </c>
      <c r="E28" s="13"/>
      <c r="F28" s="14" t="s">
        <v>137</v>
      </c>
      <c r="G28" s="14"/>
    </row>
    <row r="29" customFormat="false" ht="15" hidden="false" customHeight="false" outlineLevel="0" collapsed="false">
      <c r="A29" s="13" t="n">
        <v>28</v>
      </c>
      <c r="B29" s="13" t="s">
        <v>50</v>
      </c>
      <c r="C29" s="14" t="s">
        <v>769</v>
      </c>
      <c r="D29" s="14" t="s">
        <v>770</v>
      </c>
      <c r="E29" s="13" t="s">
        <v>771</v>
      </c>
      <c r="F29" s="14" t="s">
        <v>137</v>
      </c>
      <c r="G29" s="14"/>
    </row>
    <row r="30" customFormat="false" ht="15" hidden="false" customHeight="false" outlineLevel="0" collapsed="false">
      <c r="A30" s="13" t="n">
        <v>29</v>
      </c>
      <c r="B30" s="13" t="s">
        <v>50</v>
      </c>
      <c r="C30" s="14" t="s">
        <v>772</v>
      </c>
      <c r="D30" s="14" t="s">
        <v>773</v>
      </c>
      <c r="E30" s="13" t="s">
        <v>774</v>
      </c>
      <c r="F30" s="14" t="s">
        <v>137</v>
      </c>
      <c r="G30" s="14"/>
    </row>
    <row r="31" customFormat="false" ht="15" hidden="false" customHeight="false" outlineLevel="0" collapsed="false">
      <c r="A31" s="13" t="n">
        <v>30</v>
      </c>
      <c r="B31" s="13" t="s">
        <v>50</v>
      </c>
      <c r="C31" s="14" t="s">
        <v>775</v>
      </c>
      <c r="D31" s="14" t="s">
        <v>776</v>
      </c>
      <c r="E31" s="13"/>
      <c r="F31" s="14" t="s">
        <v>137</v>
      </c>
      <c r="G31" s="14"/>
    </row>
    <row r="32" customFormat="false" ht="15" hidden="false" customHeight="false" outlineLevel="0" collapsed="false">
      <c r="A32" s="13" t="n">
        <v>31</v>
      </c>
      <c r="B32" s="13" t="s">
        <v>50</v>
      </c>
      <c r="C32" s="14" t="s">
        <v>777</v>
      </c>
      <c r="D32" s="14" t="s">
        <v>778</v>
      </c>
      <c r="E32" s="13"/>
      <c r="F32" s="14" t="s">
        <v>137</v>
      </c>
      <c r="G32" s="14"/>
    </row>
    <row r="33" customFormat="false" ht="15" hidden="false" customHeight="false" outlineLevel="0" collapsed="false">
      <c r="A33" s="13" t="n">
        <v>32</v>
      </c>
      <c r="B33" s="13" t="s">
        <v>50</v>
      </c>
      <c r="C33" s="14" t="s">
        <v>779</v>
      </c>
      <c r="D33" s="14"/>
      <c r="E33" s="13"/>
      <c r="F33" s="14" t="s">
        <v>780</v>
      </c>
      <c r="G33" s="14"/>
    </row>
    <row r="34" customFormat="false" ht="15" hidden="false" customHeight="false" outlineLevel="0" collapsed="false">
      <c r="A34" s="13" t="n">
        <v>33</v>
      </c>
      <c r="B34" s="13" t="s">
        <v>50</v>
      </c>
      <c r="C34" s="14" t="s">
        <v>781</v>
      </c>
      <c r="D34" s="14" t="s">
        <v>782</v>
      </c>
      <c r="E34" s="13" t="s">
        <v>783</v>
      </c>
      <c r="F34" s="14" t="s">
        <v>137</v>
      </c>
      <c r="G34" s="14"/>
    </row>
    <row r="35" customFormat="false" ht="15" hidden="false" customHeight="false" outlineLevel="0" collapsed="false">
      <c r="A35" s="13" t="n">
        <v>34</v>
      </c>
      <c r="B35" s="13" t="s">
        <v>50</v>
      </c>
      <c r="C35" s="14" t="s">
        <v>784</v>
      </c>
      <c r="D35" s="14" t="s">
        <v>785</v>
      </c>
      <c r="E35" s="13" t="s">
        <v>786</v>
      </c>
      <c r="F35" s="14" t="s">
        <v>137</v>
      </c>
      <c r="G35" s="14"/>
    </row>
    <row r="36" customFormat="false" ht="29.85" hidden="false" customHeight="false" outlineLevel="0" collapsed="false">
      <c r="A36" s="13" t="n">
        <v>35</v>
      </c>
      <c r="B36" s="13" t="s">
        <v>50</v>
      </c>
      <c r="C36" s="14" t="s">
        <v>787</v>
      </c>
      <c r="D36" s="14" t="s">
        <v>788</v>
      </c>
      <c r="E36" s="13"/>
      <c r="F36" s="14" t="s">
        <v>137</v>
      </c>
      <c r="G36" s="14"/>
    </row>
    <row r="37" customFormat="false" ht="15" hidden="false" customHeight="false" outlineLevel="0" collapsed="false">
      <c r="A37" s="13" t="n">
        <v>36</v>
      </c>
      <c r="B37" s="13" t="s">
        <v>50</v>
      </c>
      <c r="C37" s="14" t="s">
        <v>789</v>
      </c>
      <c r="D37" s="14"/>
      <c r="E37" s="13"/>
      <c r="F37" s="14" t="s">
        <v>790</v>
      </c>
      <c r="G37" s="14"/>
    </row>
    <row r="38" customFormat="false" ht="15" hidden="false" customHeight="false" outlineLevel="0" collapsed="false">
      <c r="A38" s="13" t="n">
        <v>37</v>
      </c>
      <c r="B38" s="13" t="s">
        <v>50</v>
      </c>
      <c r="C38" s="14" t="s">
        <v>791</v>
      </c>
      <c r="D38" s="14"/>
      <c r="E38" s="13"/>
      <c r="F38" s="14" t="s">
        <v>792</v>
      </c>
      <c r="G38" s="14"/>
    </row>
    <row r="39" customFormat="false" ht="29.85" hidden="false" customHeight="false" outlineLevel="0" collapsed="false">
      <c r="A39" s="13" t="n">
        <v>38</v>
      </c>
      <c r="B39" s="13" t="s">
        <v>50</v>
      </c>
      <c r="C39" s="14" t="s">
        <v>793</v>
      </c>
      <c r="D39" s="14" t="s">
        <v>794</v>
      </c>
      <c r="E39" s="13"/>
      <c r="F39" s="14" t="s">
        <v>137</v>
      </c>
      <c r="G39" s="14"/>
    </row>
    <row r="40" customFormat="false" ht="15" hidden="false" customHeight="false" outlineLevel="0" collapsed="false">
      <c r="A40" s="13" t="n">
        <v>39</v>
      </c>
      <c r="B40" s="13" t="s">
        <v>50</v>
      </c>
      <c r="C40" s="14" t="s">
        <v>795</v>
      </c>
      <c r="D40" s="14" t="s">
        <v>796</v>
      </c>
      <c r="E40" s="13"/>
      <c r="F40" s="14" t="s">
        <v>137</v>
      </c>
      <c r="G40" s="14"/>
    </row>
    <row r="41" customFormat="false" ht="15" hidden="false" customHeight="false" outlineLevel="0" collapsed="false">
      <c r="A41" s="13" t="n">
        <v>40</v>
      </c>
      <c r="B41" s="13" t="s">
        <v>50</v>
      </c>
      <c r="C41" s="14" t="s">
        <v>797</v>
      </c>
      <c r="D41" s="14" t="s">
        <v>798</v>
      </c>
      <c r="E41" s="13"/>
      <c r="F41" s="14" t="s">
        <v>137</v>
      </c>
      <c r="G41" s="14"/>
    </row>
    <row r="42" customFormat="false" ht="15" hidden="false" customHeight="false" outlineLevel="0" collapsed="false">
      <c r="A42" s="13" t="n">
        <v>41</v>
      </c>
      <c r="B42" s="13" t="s">
        <v>50</v>
      </c>
      <c r="C42" s="14" t="s">
        <v>799</v>
      </c>
      <c r="D42" s="14" t="s">
        <v>800</v>
      </c>
      <c r="E42" s="13"/>
      <c r="F42" s="14" t="s">
        <v>137</v>
      </c>
      <c r="G42" s="14"/>
    </row>
    <row r="43" customFormat="false" ht="15" hidden="false" customHeight="false" outlineLevel="0" collapsed="false">
      <c r="A43" s="13" t="n">
        <v>42</v>
      </c>
      <c r="B43" s="13" t="s">
        <v>51</v>
      </c>
      <c r="C43" s="14" t="s">
        <v>801</v>
      </c>
      <c r="D43" s="14" t="s">
        <v>802</v>
      </c>
      <c r="E43" s="13" t="s">
        <v>803</v>
      </c>
      <c r="F43" s="14" t="s">
        <v>137</v>
      </c>
      <c r="G43" s="14"/>
    </row>
    <row r="44" customFormat="false" ht="15" hidden="false" customHeight="false" outlineLevel="0" collapsed="false">
      <c r="A44" s="13" t="n">
        <v>43</v>
      </c>
      <c r="B44" s="13" t="s">
        <v>51</v>
      </c>
      <c r="C44" s="14" t="s">
        <v>804</v>
      </c>
      <c r="D44" s="14"/>
      <c r="E44" s="13"/>
      <c r="F44" s="14" t="s">
        <v>805</v>
      </c>
      <c r="G44" s="14"/>
    </row>
    <row r="45" customFormat="false" ht="15" hidden="false" customHeight="false" outlineLevel="0" collapsed="false">
      <c r="A45" s="13" t="n">
        <v>44</v>
      </c>
      <c r="B45" s="13" t="s">
        <v>51</v>
      </c>
      <c r="C45" s="14" t="s">
        <v>806</v>
      </c>
      <c r="D45" s="14" t="s">
        <v>807</v>
      </c>
      <c r="E45" s="13"/>
      <c r="F45" s="14" t="s">
        <v>137</v>
      </c>
      <c r="G45" s="14"/>
    </row>
    <row r="46" customFormat="false" ht="15" hidden="false" customHeight="false" outlineLevel="0" collapsed="false">
      <c r="A46" s="13" t="n">
        <v>45</v>
      </c>
      <c r="B46" s="13" t="s">
        <v>51</v>
      </c>
      <c r="C46" s="14" t="s">
        <v>808</v>
      </c>
      <c r="D46" s="14"/>
      <c r="E46" s="13"/>
      <c r="F46" s="14" t="s">
        <v>809</v>
      </c>
      <c r="G46" s="14"/>
    </row>
    <row r="47" customFormat="false" ht="15" hidden="false" customHeight="false" outlineLevel="0" collapsed="false">
      <c r="A47" s="13" t="n">
        <v>46</v>
      </c>
      <c r="B47" s="13" t="s">
        <v>51</v>
      </c>
      <c r="C47" s="14" t="s">
        <v>810</v>
      </c>
      <c r="D47" s="14"/>
      <c r="E47" s="13"/>
      <c r="F47" s="14" t="s">
        <v>811</v>
      </c>
      <c r="G47" s="14"/>
    </row>
    <row r="48" customFormat="false" ht="15" hidden="false" customHeight="false" outlineLevel="0" collapsed="false">
      <c r="A48" s="13" t="n">
        <v>47</v>
      </c>
      <c r="B48" s="13" t="s">
        <v>51</v>
      </c>
      <c r="C48" s="14" t="s">
        <v>812</v>
      </c>
      <c r="D48" s="14" t="s">
        <v>813</v>
      </c>
      <c r="E48" s="13"/>
      <c r="F48" s="14" t="s">
        <v>137</v>
      </c>
      <c r="G48" s="14"/>
    </row>
    <row r="49" customFormat="false" ht="15" hidden="false" customHeight="false" outlineLevel="0" collapsed="false">
      <c r="A49" s="13" t="n">
        <v>48</v>
      </c>
      <c r="B49" s="13" t="s">
        <v>51</v>
      </c>
      <c r="C49" s="14" t="s">
        <v>814</v>
      </c>
      <c r="D49" s="14" t="s">
        <v>815</v>
      </c>
      <c r="E49" s="13"/>
      <c r="F49" s="14" t="s">
        <v>137</v>
      </c>
      <c r="G49" s="14"/>
    </row>
    <row r="50" customFormat="false" ht="15" hidden="false" customHeight="false" outlineLevel="0" collapsed="false">
      <c r="A50" s="13" t="n">
        <v>49</v>
      </c>
      <c r="B50" s="13" t="s">
        <v>51</v>
      </c>
      <c r="C50" s="14" t="s">
        <v>816</v>
      </c>
      <c r="D50" s="14" t="s">
        <v>817</v>
      </c>
      <c r="E50" s="13"/>
      <c r="F50" s="14" t="s">
        <v>137</v>
      </c>
      <c r="G50" s="14"/>
    </row>
    <row r="51" customFormat="false" ht="15" hidden="false" customHeight="false" outlineLevel="0" collapsed="false">
      <c r="A51" s="13" t="n">
        <v>50</v>
      </c>
      <c r="B51" s="13" t="s">
        <v>51</v>
      </c>
      <c r="C51" s="14" t="s">
        <v>818</v>
      </c>
      <c r="D51" s="14"/>
      <c r="E51" s="13"/>
      <c r="F51" s="14" t="s">
        <v>819</v>
      </c>
      <c r="G51" s="14"/>
    </row>
    <row r="52" customFormat="false" ht="29.85" hidden="false" customHeight="false" outlineLevel="0" collapsed="false">
      <c r="A52" s="13" t="n">
        <v>51</v>
      </c>
      <c r="B52" s="13" t="s">
        <v>52</v>
      </c>
      <c r="C52" s="14" t="s">
        <v>820</v>
      </c>
      <c r="D52" s="14" t="s">
        <v>821</v>
      </c>
      <c r="E52" s="13"/>
      <c r="F52" s="14" t="s">
        <v>137</v>
      </c>
      <c r="G52" s="14"/>
    </row>
    <row r="53" customFormat="false" ht="15" hidden="false" customHeight="false" outlineLevel="0" collapsed="false">
      <c r="A53" s="13" t="n">
        <v>52</v>
      </c>
      <c r="B53" s="13" t="s">
        <v>53</v>
      </c>
      <c r="C53" s="14" t="s">
        <v>822</v>
      </c>
      <c r="D53" s="14"/>
      <c r="E53" s="13"/>
      <c r="F53" s="14" t="s">
        <v>823</v>
      </c>
      <c r="G53" s="14"/>
    </row>
    <row r="54" customFormat="false" ht="15" hidden="false" customHeight="false" outlineLevel="0" collapsed="false">
      <c r="A54" s="13" t="n">
        <v>53</v>
      </c>
      <c r="B54" s="13" t="s">
        <v>53</v>
      </c>
      <c r="C54" s="14" t="s">
        <v>824</v>
      </c>
      <c r="D54" s="14"/>
      <c r="E54" s="13"/>
      <c r="F54" s="14" t="s">
        <v>825</v>
      </c>
      <c r="G54" s="14"/>
    </row>
    <row r="55" customFormat="false" ht="15" hidden="false" customHeight="false" outlineLevel="0" collapsed="false">
      <c r="A55" s="13" t="n">
        <v>54</v>
      </c>
      <c r="B55" s="13" t="s">
        <v>53</v>
      </c>
      <c r="C55" s="14" t="s">
        <v>826</v>
      </c>
      <c r="D55" s="14"/>
      <c r="E55" s="13"/>
      <c r="F55" s="14" t="s">
        <v>827</v>
      </c>
      <c r="G55" s="14"/>
    </row>
    <row r="56" customFormat="false" ht="15" hidden="false" customHeight="false" outlineLevel="0" collapsed="false">
      <c r="A56" s="13" t="n">
        <v>55</v>
      </c>
      <c r="B56" s="13" t="s">
        <v>53</v>
      </c>
      <c r="C56" s="14" t="s">
        <v>828</v>
      </c>
      <c r="D56" s="14"/>
      <c r="E56" s="13"/>
      <c r="F56" s="14" t="s">
        <v>829</v>
      </c>
      <c r="G56" s="14"/>
    </row>
    <row r="57" customFormat="false" ht="15" hidden="false" customHeight="false" outlineLevel="0" collapsed="false">
      <c r="A57" s="13" t="n">
        <v>56</v>
      </c>
      <c r="B57" s="13" t="s">
        <v>53</v>
      </c>
      <c r="C57" s="14" t="s">
        <v>830</v>
      </c>
      <c r="D57" s="14"/>
      <c r="E57" s="13"/>
      <c r="F57" s="14" t="s">
        <v>831</v>
      </c>
      <c r="G57" s="14"/>
    </row>
    <row r="58" customFormat="false" ht="15" hidden="false" customHeight="false" outlineLevel="0" collapsed="false">
      <c r="A58" s="13" t="n">
        <v>57</v>
      </c>
      <c r="B58" s="13" t="s">
        <v>53</v>
      </c>
      <c r="C58" s="14" t="s">
        <v>832</v>
      </c>
      <c r="D58" s="14"/>
      <c r="E58" s="13"/>
      <c r="F58" s="14" t="s">
        <v>833</v>
      </c>
      <c r="G58" s="14"/>
    </row>
    <row r="59" customFormat="false" ht="15" hidden="false" customHeight="false" outlineLevel="0" collapsed="false">
      <c r="A59" s="13" t="n">
        <v>58</v>
      </c>
      <c r="B59" s="13" t="s">
        <v>55</v>
      </c>
      <c r="C59" s="14" t="s">
        <v>834</v>
      </c>
      <c r="D59" s="14" t="s">
        <v>835</v>
      </c>
      <c r="E59" s="13"/>
      <c r="F59" s="14" t="s">
        <v>137</v>
      </c>
      <c r="G59" s="14"/>
    </row>
    <row r="60" customFormat="false" ht="15" hidden="false" customHeight="false" outlineLevel="0" collapsed="false">
      <c r="A60" s="13" t="n">
        <v>59</v>
      </c>
      <c r="B60" s="13" t="s">
        <v>55</v>
      </c>
      <c r="C60" s="14" t="s">
        <v>836</v>
      </c>
      <c r="D60" s="14"/>
      <c r="E60" s="13"/>
      <c r="F60" s="14" t="s">
        <v>837</v>
      </c>
      <c r="G60" s="14"/>
    </row>
    <row r="61" customFormat="false" ht="15" hidden="false" customHeight="false" outlineLevel="0" collapsed="false">
      <c r="A61" s="13" t="n">
        <v>60</v>
      </c>
      <c r="B61" s="13" t="s">
        <v>55</v>
      </c>
      <c r="C61" s="14" t="s">
        <v>838</v>
      </c>
      <c r="D61" s="14" t="s">
        <v>839</v>
      </c>
      <c r="E61" s="13"/>
      <c r="F61" s="14" t="s">
        <v>137</v>
      </c>
      <c r="G61" s="14"/>
    </row>
    <row r="62" customFormat="false" ht="15" hidden="false" customHeight="false" outlineLevel="0" collapsed="false">
      <c r="A62" s="13" t="n">
        <v>61</v>
      </c>
      <c r="B62" s="13" t="s">
        <v>55</v>
      </c>
      <c r="C62" s="14" t="s">
        <v>840</v>
      </c>
      <c r="D62" s="14" t="s">
        <v>841</v>
      </c>
      <c r="E62" s="13"/>
      <c r="F62" s="14" t="s">
        <v>137</v>
      </c>
      <c r="G62" s="14"/>
    </row>
    <row r="63" customFormat="false" ht="15" hidden="false" customHeight="false" outlineLevel="0" collapsed="false">
      <c r="A63" s="13" t="n">
        <v>62</v>
      </c>
      <c r="B63" s="13" t="s">
        <v>55</v>
      </c>
      <c r="C63" s="14" t="s">
        <v>842</v>
      </c>
      <c r="D63" s="14" t="s">
        <v>843</v>
      </c>
      <c r="E63" s="13"/>
      <c r="F63" s="14" t="s">
        <v>137</v>
      </c>
      <c r="G63" s="14"/>
    </row>
    <row r="64" customFormat="false" ht="15" hidden="false" customHeight="false" outlineLevel="0" collapsed="false">
      <c r="A64" s="13" t="n">
        <v>63</v>
      </c>
      <c r="B64" s="13" t="s">
        <v>55</v>
      </c>
      <c r="C64" s="14" t="s">
        <v>844</v>
      </c>
      <c r="D64" s="14"/>
      <c r="E64" s="13"/>
      <c r="F64" s="14" t="s">
        <v>845</v>
      </c>
      <c r="G64" s="14"/>
    </row>
    <row r="65" customFormat="false" ht="15" hidden="false" customHeight="false" outlineLevel="0" collapsed="false">
      <c r="A65" s="13" t="n">
        <v>64</v>
      </c>
      <c r="B65" s="13" t="s">
        <v>56</v>
      </c>
      <c r="C65" s="14" t="s">
        <v>846</v>
      </c>
      <c r="D65" s="14"/>
      <c r="E65" s="13"/>
      <c r="F65" s="14" t="s">
        <v>847</v>
      </c>
      <c r="G65" s="14"/>
    </row>
    <row r="66" customFormat="false" ht="29.85" hidden="false" customHeight="false" outlineLevel="0" collapsed="false">
      <c r="A66" s="13" t="n">
        <v>65</v>
      </c>
      <c r="B66" s="13" t="s">
        <v>56</v>
      </c>
      <c r="C66" s="14" t="s">
        <v>848</v>
      </c>
      <c r="D66" s="14" t="s">
        <v>849</v>
      </c>
      <c r="E66" s="13"/>
      <c r="F66" s="14" t="s">
        <v>137</v>
      </c>
      <c r="G66" s="14"/>
    </row>
    <row r="67" customFormat="false" ht="15" hidden="false" customHeight="false" outlineLevel="0" collapsed="false">
      <c r="A67" s="13" t="n">
        <v>66</v>
      </c>
      <c r="B67" s="13" t="s">
        <v>57</v>
      </c>
      <c r="C67" s="14" t="s">
        <v>850</v>
      </c>
      <c r="D67" s="14"/>
      <c r="E67" s="13"/>
      <c r="F67" s="14" t="s">
        <v>851</v>
      </c>
      <c r="G67" s="14"/>
    </row>
    <row r="68" customFormat="false" ht="15" hidden="false" customHeight="false" outlineLevel="0" collapsed="false">
      <c r="A68" s="13" t="n">
        <v>67</v>
      </c>
      <c r="B68" s="13" t="s">
        <v>57</v>
      </c>
      <c r="C68" s="14" t="s">
        <v>852</v>
      </c>
      <c r="D68" s="14" t="s">
        <v>853</v>
      </c>
      <c r="E68" s="13"/>
      <c r="F68" s="14" t="s">
        <v>137</v>
      </c>
      <c r="G68" s="14"/>
    </row>
    <row r="69" customFormat="false" ht="15" hidden="false" customHeight="false" outlineLevel="0" collapsed="false">
      <c r="A69" s="13" t="n">
        <v>68</v>
      </c>
      <c r="B69" s="13" t="s">
        <v>57</v>
      </c>
      <c r="C69" s="14" t="s">
        <v>854</v>
      </c>
      <c r="D69" s="14" t="s">
        <v>855</v>
      </c>
      <c r="E69" s="13"/>
      <c r="F69" s="14" t="s">
        <v>137</v>
      </c>
      <c r="G69" s="14"/>
    </row>
    <row r="70" customFormat="false" ht="15" hidden="false" customHeight="false" outlineLevel="0" collapsed="false">
      <c r="A70" s="13" t="n">
        <v>69</v>
      </c>
      <c r="B70" s="13" t="s">
        <v>57</v>
      </c>
      <c r="C70" s="14" t="s">
        <v>856</v>
      </c>
      <c r="D70" s="14" t="s">
        <v>857</v>
      </c>
      <c r="E70" s="13"/>
      <c r="F70" s="14" t="s">
        <v>137</v>
      </c>
      <c r="G70" s="14"/>
    </row>
    <row r="71" customFormat="false" ht="15" hidden="false" customHeight="false" outlineLevel="0" collapsed="false">
      <c r="A71" s="13" t="n">
        <v>70</v>
      </c>
      <c r="B71" s="13" t="s">
        <v>57</v>
      </c>
      <c r="C71" s="14" t="s">
        <v>858</v>
      </c>
      <c r="D71" s="14"/>
      <c r="E71" s="13"/>
      <c r="F71" s="14" t="s">
        <v>859</v>
      </c>
      <c r="G71" s="14"/>
    </row>
    <row r="72" customFormat="false" ht="15" hidden="false" customHeight="false" outlineLevel="0" collapsed="false">
      <c r="A72" s="13" t="n">
        <v>71</v>
      </c>
      <c r="B72" s="13" t="s">
        <v>57</v>
      </c>
      <c r="C72" s="14" t="s">
        <v>860</v>
      </c>
      <c r="D72" s="14" t="s">
        <v>861</v>
      </c>
      <c r="E72" s="13"/>
      <c r="F72" s="14" t="s">
        <v>137</v>
      </c>
      <c r="G72" s="14"/>
    </row>
    <row r="73" customFormat="false" ht="15" hidden="false" customHeight="false" outlineLevel="0" collapsed="false">
      <c r="A73" s="13" t="n">
        <v>72</v>
      </c>
      <c r="B73" s="13" t="s">
        <v>57</v>
      </c>
      <c r="C73" s="14" t="s">
        <v>862</v>
      </c>
      <c r="D73" s="14" t="s">
        <v>863</v>
      </c>
      <c r="E73" s="13"/>
      <c r="F73" s="14" t="s">
        <v>137</v>
      </c>
      <c r="G73" s="14"/>
    </row>
    <row r="74" customFormat="false" ht="15" hidden="false" customHeight="false" outlineLevel="0" collapsed="false">
      <c r="A74" s="13" t="n">
        <v>73</v>
      </c>
      <c r="B74" s="13" t="s">
        <v>59</v>
      </c>
      <c r="C74" s="14" t="s">
        <v>864</v>
      </c>
      <c r="D74" s="14" t="s">
        <v>865</v>
      </c>
      <c r="E74" s="13"/>
      <c r="F74" s="14" t="s">
        <v>137</v>
      </c>
      <c r="G74" s="14"/>
    </row>
    <row r="75" customFormat="false" ht="15" hidden="false" customHeight="false" outlineLevel="0" collapsed="false">
      <c r="A75" s="13" t="n">
        <v>74</v>
      </c>
      <c r="B75" s="13" t="s">
        <v>59</v>
      </c>
      <c r="C75" s="14" t="s">
        <v>866</v>
      </c>
      <c r="D75" s="14" t="s">
        <v>867</v>
      </c>
      <c r="E75" s="13"/>
      <c r="F75" s="14" t="s">
        <v>137</v>
      </c>
      <c r="G75" s="14"/>
    </row>
    <row r="76" customFormat="false" ht="15" hidden="false" customHeight="false" outlineLevel="0" collapsed="false">
      <c r="A76" s="13" t="n">
        <v>75</v>
      </c>
      <c r="B76" s="13" t="s">
        <v>59</v>
      </c>
      <c r="C76" s="14" t="s">
        <v>868</v>
      </c>
      <c r="D76" s="14" t="s">
        <v>869</v>
      </c>
      <c r="E76" s="13"/>
      <c r="F76" s="14" t="s">
        <v>137</v>
      </c>
      <c r="G76" s="14"/>
    </row>
    <row r="77" customFormat="false" ht="15" hidden="false" customHeight="false" outlineLevel="0" collapsed="false">
      <c r="A77" s="13" t="n">
        <v>76</v>
      </c>
      <c r="B77" s="13" t="s">
        <v>59</v>
      </c>
      <c r="C77" s="14" t="s">
        <v>870</v>
      </c>
      <c r="D77" s="14" t="s">
        <v>871</v>
      </c>
      <c r="E77" s="13"/>
      <c r="F77" s="14" t="s">
        <v>137</v>
      </c>
      <c r="G77" s="14"/>
    </row>
    <row r="78" customFormat="false" ht="15" hidden="false" customHeight="false" outlineLevel="0" collapsed="false">
      <c r="A78" s="13" t="n">
        <v>77</v>
      </c>
      <c r="B78" s="13" t="s">
        <v>59</v>
      </c>
      <c r="C78" s="14" t="s">
        <v>872</v>
      </c>
      <c r="D78" s="14" t="s">
        <v>873</v>
      </c>
      <c r="E78" s="13" t="s">
        <v>874</v>
      </c>
      <c r="F78" s="14" t="s">
        <v>137</v>
      </c>
      <c r="G78" s="14"/>
    </row>
    <row r="79" customFormat="false" ht="15" hidden="false" customHeight="false" outlineLevel="0" collapsed="false">
      <c r="A79" s="13" t="n">
        <v>78</v>
      </c>
      <c r="B79" s="13" t="s">
        <v>59</v>
      </c>
      <c r="C79" s="14" t="s">
        <v>875</v>
      </c>
      <c r="D79" s="14" t="s">
        <v>876</v>
      </c>
      <c r="E79" s="13"/>
      <c r="F79" s="14" t="s">
        <v>137</v>
      </c>
      <c r="G79" s="14"/>
    </row>
    <row r="80" customFormat="false" ht="15" hidden="false" customHeight="false" outlineLevel="0" collapsed="false">
      <c r="A80" s="13" t="n">
        <v>79</v>
      </c>
      <c r="B80" s="13" t="s">
        <v>59</v>
      </c>
      <c r="C80" s="14" t="s">
        <v>877</v>
      </c>
      <c r="D80" s="14" t="s">
        <v>878</v>
      </c>
      <c r="E80" s="13" t="s">
        <v>879</v>
      </c>
      <c r="F80" s="14" t="s">
        <v>137</v>
      </c>
      <c r="G80" s="14"/>
    </row>
    <row r="81" customFormat="false" ht="15" hidden="false" customHeight="false" outlineLevel="0" collapsed="false">
      <c r="A81" s="13" t="n">
        <v>80</v>
      </c>
      <c r="B81" s="13" t="s">
        <v>59</v>
      </c>
      <c r="C81" s="14" t="s">
        <v>880</v>
      </c>
      <c r="D81" s="14" t="s">
        <v>881</v>
      </c>
      <c r="E81" s="13"/>
      <c r="F81" s="14" t="s">
        <v>137</v>
      </c>
      <c r="G81" s="14"/>
    </row>
    <row r="82" customFormat="false" ht="15" hidden="false" customHeight="false" outlineLevel="0" collapsed="false">
      <c r="A82" s="13" t="n">
        <v>81</v>
      </c>
      <c r="B82" s="13" t="s">
        <v>59</v>
      </c>
      <c r="C82" s="14" t="s">
        <v>882</v>
      </c>
      <c r="D82" s="14" t="s">
        <v>883</v>
      </c>
      <c r="E82" s="13"/>
      <c r="F82" s="14" t="s">
        <v>137</v>
      </c>
      <c r="G82" s="14"/>
    </row>
    <row r="83" customFormat="false" ht="15" hidden="false" customHeight="false" outlineLevel="0" collapsed="false">
      <c r="A83" s="13" t="n">
        <v>82</v>
      </c>
      <c r="B83" s="13" t="s">
        <v>59</v>
      </c>
      <c r="C83" s="14" t="s">
        <v>884</v>
      </c>
      <c r="D83" s="14" t="s">
        <v>871</v>
      </c>
      <c r="E83" s="13"/>
      <c r="F83" s="14" t="s">
        <v>137</v>
      </c>
      <c r="G83" s="14"/>
    </row>
    <row r="84" customFormat="false" ht="15" hidden="false" customHeight="false" outlineLevel="0" collapsed="false">
      <c r="A84" s="13" t="n">
        <v>83</v>
      </c>
      <c r="B84" s="13" t="s">
        <v>59</v>
      </c>
      <c r="C84" s="14" t="s">
        <v>885</v>
      </c>
      <c r="D84" s="14" t="s">
        <v>886</v>
      </c>
      <c r="E84" s="13"/>
      <c r="F84" s="14" t="s">
        <v>137</v>
      </c>
      <c r="G84" s="14"/>
    </row>
    <row r="85" customFormat="false" ht="15" hidden="false" customHeight="false" outlineLevel="0" collapsed="false">
      <c r="A85" s="13" t="n">
        <v>84</v>
      </c>
      <c r="B85" s="13" t="s">
        <v>60</v>
      </c>
      <c r="C85" s="14" t="s">
        <v>887</v>
      </c>
      <c r="D85" s="14" t="s">
        <v>888</v>
      </c>
      <c r="E85" s="13" t="s">
        <v>889</v>
      </c>
      <c r="F85" s="14" t="s">
        <v>137</v>
      </c>
      <c r="G85" s="14"/>
    </row>
    <row r="86" customFormat="false" ht="29.85" hidden="false" customHeight="false" outlineLevel="0" collapsed="false">
      <c r="A86" s="13" t="n">
        <v>85</v>
      </c>
      <c r="B86" s="13" t="s">
        <v>60</v>
      </c>
      <c r="C86" s="14" t="s">
        <v>890</v>
      </c>
      <c r="D86" s="14" t="s">
        <v>891</v>
      </c>
      <c r="E86" s="13"/>
      <c r="F86" s="14" t="s">
        <v>137</v>
      </c>
      <c r="G86" s="14"/>
    </row>
    <row r="87" customFormat="false" ht="15" hidden="false" customHeight="false" outlineLevel="0" collapsed="false">
      <c r="A87" s="13" t="n">
        <v>86</v>
      </c>
      <c r="B87" s="13" t="s">
        <v>60</v>
      </c>
      <c r="C87" s="14" t="s">
        <v>892</v>
      </c>
      <c r="D87" s="14" t="s">
        <v>893</v>
      </c>
      <c r="E87" s="13" t="s">
        <v>894</v>
      </c>
      <c r="F87" s="14" t="s">
        <v>137</v>
      </c>
      <c r="G87" s="14"/>
    </row>
    <row r="88" customFormat="false" ht="15" hidden="false" customHeight="false" outlineLevel="0" collapsed="false">
      <c r="A88" s="13" t="n">
        <v>87</v>
      </c>
      <c r="B88" s="13" t="s">
        <v>60</v>
      </c>
      <c r="C88" s="14" t="s">
        <v>895</v>
      </c>
      <c r="D88" s="14"/>
      <c r="E88" s="13"/>
      <c r="F88" s="14" t="s">
        <v>896</v>
      </c>
      <c r="G88" s="14"/>
    </row>
    <row r="89" customFormat="false" ht="15" hidden="false" customHeight="false" outlineLevel="0" collapsed="false">
      <c r="A89" s="13" t="n">
        <v>88</v>
      </c>
      <c r="B89" s="13" t="s">
        <v>60</v>
      </c>
      <c r="C89" s="14" t="s">
        <v>897</v>
      </c>
      <c r="D89" s="14" t="s">
        <v>898</v>
      </c>
      <c r="E89" s="13"/>
      <c r="F89" s="14" t="s">
        <v>137</v>
      </c>
      <c r="G89" s="14"/>
    </row>
    <row r="90" customFormat="false" ht="15" hidden="false" customHeight="false" outlineLevel="0" collapsed="false">
      <c r="A90" s="13" t="n">
        <v>89</v>
      </c>
      <c r="B90" s="13" t="s">
        <v>60</v>
      </c>
      <c r="C90" s="14" t="s">
        <v>899</v>
      </c>
      <c r="D90" s="14" t="s">
        <v>900</v>
      </c>
      <c r="E90" s="13"/>
      <c r="F90" s="14" t="s">
        <v>137</v>
      </c>
      <c r="G90" s="14"/>
    </row>
    <row r="91" customFormat="false" ht="15" hidden="false" customHeight="false" outlineLevel="0" collapsed="false">
      <c r="A91" s="13" t="n">
        <v>90</v>
      </c>
      <c r="B91" s="13" t="s">
        <v>60</v>
      </c>
      <c r="C91" s="14" t="s">
        <v>901</v>
      </c>
      <c r="D91" s="14"/>
      <c r="E91" s="13"/>
      <c r="F91" s="14" t="s">
        <v>902</v>
      </c>
      <c r="G91" s="14"/>
    </row>
    <row r="92" customFormat="false" ht="15" hidden="false" customHeight="false" outlineLevel="0" collapsed="false">
      <c r="A92" s="13" t="n">
        <v>91</v>
      </c>
      <c r="B92" s="13" t="s">
        <v>60</v>
      </c>
      <c r="C92" s="14" t="s">
        <v>903</v>
      </c>
      <c r="D92" s="14" t="s">
        <v>904</v>
      </c>
      <c r="E92" s="13"/>
      <c r="F92" s="14" t="s">
        <v>137</v>
      </c>
      <c r="G92" s="14"/>
    </row>
    <row r="93" customFormat="false" ht="15" hidden="false" customHeight="false" outlineLevel="0" collapsed="false">
      <c r="A93" s="13" t="n">
        <v>92</v>
      </c>
      <c r="B93" s="13" t="s">
        <v>60</v>
      </c>
      <c r="C93" s="14" t="s">
        <v>905</v>
      </c>
      <c r="D93" s="14"/>
      <c r="E93" s="13"/>
      <c r="F93" s="14" t="s">
        <v>906</v>
      </c>
      <c r="G93" s="14"/>
    </row>
    <row r="94" customFormat="false" ht="15" hidden="false" customHeight="false" outlineLevel="0" collapsed="false">
      <c r="A94" s="13" t="n">
        <v>93</v>
      </c>
      <c r="B94" s="13" t="s">
        <v>60</v>
      </c>
      <c r="C94" s="14" t="s">
        <v>907</v>
      </c>
      <c r="D94" s="14"/>
      <c r="E94" s="13"/>
      <c r="F94" s="14" t="s">
        <v>908</v>
      </c>
      <c r="G94" s="14"/>
    </row>
    <row r="95" customFormat="false" ht="29.85" hidden="false" customHeight="false" outlineLevel="0" collapsed="false">
      <c r="A95" s="13" t="n">
        <v>94</v>
      </c>
      <c r="B95" s="13" t="s">
        <v>61</v>
      </c>
      <c r="C95" s="14" t="s">
        <v>909</v>
      </c>
      <c r="D95" s="14" t="s">
        <v>910</v>
      </c>
      <c r="E95" s="13"/>
      <c r="F95" s="14" t="s">
        <v>137</v>
      </c>
      <c r="G95" s="14"/>
    </row>
    <row r="96" customFormat="false" ht="15" hidden="false" customHeight="false" outlineLevel="0" collapsed="false">
      <c r="A96" s="13" t="n">
        <v>95</v>
      </c>
      <c r="B96" s="13" t="s">
        <v>62</v>
      </c>
      <c r="C96" s="14" t="s">
        <v>911</v>
      </c>
      <c r="D96" s="14" t="s">
        <v>912</v>
      </c>
      <c r="E96" s="13" t="s">
        <v>913</v>
      </c>
      <c r="F96" s="14" t="s">
        <v>137</v>
      </c>
      <c r="G96" s="14"/>
    </row>
    <row r="97" customFormat="false" ht="29.85" hidden="false" customHeight="false" outlineLevel="0" collapsed="false">
      <c r="A97" s="13" t="n">
        <v>96</v>
      </c>
      <c r="B97" s="13" t="s">
        <v>63</v>
      </c>
      <c r="C97" s="14" t="s">
        <v>914</v>
      </c>
      <c r="D97" s="14" t="s">
        <v>915</v>
      </c>
      <c r="E97" s="13"/>
      <c r="F97" s="14" t="s">
        <v>137</v>
      </c>
      <c r="G97" s="14"/>
    </row>
    <row r="98" customFormat="false" ht="15" hidden="false" customHeight="false" outlineLevel="0" collapsed="false">
      <c r="A98" s="13" t="n">
        <v>97</v>
      </c>
      <c r="B98" s="13" t="s">
        <v>63</v>
      </c>
      <c r="C98" s="14" t="s">
        <v>916</v>
      </c>
      <c r="D98" s="14"/>
      <c r="E98" s="13"/>
      <c r="F98" s="14" t="s">
        <v>917</v>
      </c>
      <c r="G98" s="14"/>
    </row>
    <row r="99" customFormat="false" ht="15" hidden="false" customHeight="false" outlineLevel="0" collapsed="false">
      <c r="A99" s="13" t="n">
        <v>98</v>
      </c>
      <c r="B99" s="13" t="s">
        <v>64</v>
      </c>
      <c r="C99" s="14" t="s">
        <v>918</v>
      </c>
      <c r="D99" s="14" t="s">
        <v>919</v>
      </c>
      <c r="E99" s="13"/>
      <c r="F99" s="14" t="s">
        <v>137</v>
      </c>
      <c r="G99" s="14"/>
    </row>
    <row r="100" customFormat="false" ht="15" hidden="false" customHeight="false" outlineLevel="0" collapsed="false">
      <c r="A100" s="13" t="n">
        <v>99</v>
      </c>
      <c r="B100" s="13" t="s">
        <v>66</v>
      </c>
      <c r="C100" s="14" t="s">
        <v>920</v>
      </c>
      <c r="D100" s="14" t="s">
        <v>921</v>
      </c>
      <c r="E100" s="13"/>
      <c r="F100" s="14" t="s">
        <v>137</v>
      </c>
      <c r="G100" s="14"/>
    </row>
    <row r="101" customFormat="false" ht="15" hidden="false" customHeight="false" outlineLevel="0" collapsed="false">
      <c r="A101" s="13" t="n">
        <v>100</v>
      </c>
      <c r="B101" s="13" t="s">
        <v>68</v>
      </c>
      <c r="C101" s="14" t="s">
        <v>922</v>
      </c>
      <c r="D101" s="14" t="s">
        <v>923</v>
      </c>
      <c r="E101" s="13"/>
      <c r="F101" s="14" t="s">
        <v>137</v>
      </c>
      <c r="G101"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47</v>
      </c>
      <c r="C2" s="14" t="s">
        <v>95</v>
      </c>
      <c r="D2" s="13" t="s">
        <v>96</v>
      </c>
      <c r="E2" s="13" t="s">
        <v>37</v>
      </c>
      <c r="F2" s="13" t="s">
        <v>97</v>
      </c>
      <c r="G2" s="13" t="s">
        <v>98</v>
      </c>
      <c r="H2" s="13" t="s">
        <v>99</v>
      </c>
      <c r="I2" s="14" t="s">
        <v>100</v>
      </c>
      <c r="J2" s="13" t="s">
        <v>101</v>
      </c>
      <c r="K2" s="14" t="s">
        <v>102</v>
      </c>
      <c r="L2" s="13" t="n">
        <v>2015</v>
      </c>
      <c r="M2" s="13" t="n">
        <f aca="false">IF(L2="","",说明!$B$4-L2)</f>
        <v>11</v>
      </c>
      <c r="N2" s="14" t="s">
        <v>103</v>
      </c>
      <c r="O2" s="15"/>
      <c r="P2" s="13" t="n">
        <v>200</v>
      </c>
      <c r="Q2" s="14" t="s">
        <v>104</v>
      </c>
      <c r="R2" s="13" t="str">
        <f aca="false">IF(AND(P2="",O2=""),"",IF(OR(N(P2)&gt;=说明!$B$5,N(O2)&gt;=说明!$B$6),"大型",IF(OR(N(P2)&gt;=说明!$B$7,N(O2)&gt;=说明!$B$8),"中型","小型")))</f>
        <v>中型</v>
      </c>
      <c r="S2" s="14" t="s">
        <v>105</v>
      </c>
      <c r="T2" s="13" t="s">
        <v>106</v>
      </c>
      <c r="U2" s="15"/>
      <c r="V2" s="15"/>
      <c r="W2" s="13"/>
      <c r="X2" s="14"/>
      <c r="Y2" s="14" t="s">
        <v>107</v>
      </c>
      <c r="Z2" s="16" t="s">
        <v>108</v>
      </c>
      <c r="AA2" s="13" t="s">
        <v>109</v>
      </c>
      <c r="AB2" s="14" t="s">
        <v>110</v>
      </c>
    </row>
    <row r="3" customFormat="false" ht="48" hidden="false" customHeight="true" outlineLevel="0" collapsed="false">
      <c r="A3" s="13" t="n">
        <v>2</v>
      </c>
      <c r="B3" s="13" t="s">
        <v>47</v>
      </c>
      <c r="C3" s="14" t="s">
        <v>111</v>
      </c>
      <c r="D3" s="13" t="s">
        <v>112</v>
      </c>
      <c r="E3" s="13" t="s">
        <v>36</v>
      </c>
      <c r="F3" s="13" t="s">
        <v>97</v>
      </c>
      <c r="G3" s="13" t="s">
        <v>98</v>
      </c>
      <c r="H3" s="13"/>
      <c r="I3" s="14" t="s">
        <v>113</v>
      </c>
      <c r="J3" s="13" t="s">
        <v>114</v>
      </c>
      <c r="K3" s="14"/>
      <c r="L3" s="15"/>
      <c r="M3" s="13" t="str">
        <f aca="false">IF(L3="","",说明!$B$4-L3)</f>
        <v/>
      </c>
      <c r="N3" s="14"/>
      <c r="O3" s="15"/>
      <c r="P3" s="15"/>
      <c r="Q3" s="14" t="s">
        <v>115</v>
      </c>
      <c r="R3" s="13" t="str">
        <f aca="false">IF(AND(P3="",O3=""),"",IF(OR(N(P3)&gt;=说明!$B$5,N(O3)&gt;=说明!$B$6),"大型",IF(OR(N(P3)&gt;=说明!$B$7,N(O3)&gt;=说明!$B$8),"中型","小型")))</f>
        <v/>
      </c>
      <c r="S3" s="14" t="s">
        <v>116</v>
      </c>
      <c r="T3" s="13"/>
      <c r="U3" s="15"/>
      <c r="V3" s="15"/>
      <c r="W3" s="13"/>
      <c r="X3" s="14"/>
      <c r="Y3" s="14"/>
      <c r="Z3" s="16" t="s">
        <v>117</v>
      </c>
      <c r="AA3" s="13" t="s">
        <v>118</v>
      </c>
      <c r="AB3" s="14"/>
    </row>
    <row r="4" customFormat="false" ht="48" hidden="false" customHeight="true" outlineLevel="0" collapsed="false">
      <c r="A4" s="13" t="n">
        <v>3</v>
      </c>
      <c r="B4" s="13" t="s">
        <v>47</v>
      </c>
      <c r="C4" s="14" t="s">
        <v>119</v>
      </c>
      <c r="D4" s="13" t="s">
        <v>120</v>
      </c>
      <c r="E4" s="13" t="s">
        <v>36</v>
      </c>
      <c r="F4" s="13" t="s">
        <v>97</v>
      </c>
      <c r="G4" s="13" t="s">
        <v>98</v>
      </c>
      <c r="H4" s="13"/>
      <c r="I4" s="14" t="s">
        <v>121</v>
      </c>
      <c r="J4" s="15"/>
      <c r="K4" s="14" t="s">
        <v>122</v>
      </c>
      <c r="L4" s="15"/>
      <c r="M4" s="13" t="str">
        <f aca="false">IF(L4="","",说明!$B$4-L4)</f>
        <v/>
      </c>
      <c r="N4" s="14"/>
      <c r="O4" s="15"/>
      <c r="P4" s="15"/>
      <c r="Q4" s="14" t="s">
        <v>123</v>
      </c>
      <c r="R4" s="13" t="str">
        <f aca="false">IF(AND(P4="",O4=""),"",IF(OR(N(P4)&gt;=说明!$B$5,N(O4)&gt;=说明!$B$6),"大型",IF(OR(N(P4)&gt;=说明!$B$7,N(O4)&gt;=说明!$B$8),"中型","小型")))</f>
        <v/>
      </c>
      <c r="S4" s="14"/>
      <c r="T4" s="13"/>
      <c r="U4" s="15"/>
      <c r="V4" s="15"/>
      <c r="W4" s="13" t="s">
        <v>124</v>
      </c>
      <c r="X4" s="14"/>
      <c r="Y4" s="14"/>
      <c r="Z4" s="16" t="s">
        <v>125</v>
      </c>
      <c r="AA4" s="13" t="s">
        <v>118</v>
      </c>
      <c r="AB4" s="14"/>
    </row>
    <row r="5" customFormat="false" ht="48" hidden="false" customHeight="true" outlineLevel="0" collapsed="false">
      <c r="A5" s="13" t="n">
        <v>4</v>
      </c>
      <c r="B5" s="13" t="s">
        <v>47</v>
      </c>
      <c r="C5" s="14" t="s">
        <v>126</v>
      </c>
      <c r="D5" s="13" t="s">
        <v>126</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129</v>
      </c>
      <c r="AA5" s="13" t="s">
        <v>118</v>
      </c>
      <c r="AB5" s="14"/>
    </row>
    <row r="6" customFormat="false" ht="48" hidden="false" customHeight="true" outlineLevel="0" collapsed="false">
      <c r="A6" s="13" t="n">
        <v>5</v>
      </c>
      <c r="B6" s="13" t="s">
        <v>47</v>
      </c>
      <c r="C6" s="14" t="s">
        <v>130</v>
      </c>
      <c r="D6" s="13" t="s">
        <v>130</v>
      </c>
      <c r="E6" s="13" t="s">
        <v>37</v>
      </c>
      <c r="F6" s="13" t="s">
        <v>131</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132</v>
      </c>
      <c r="AA6" s="13" t="s">
        <v>118</v>
      </c>
      <c r="AB6" s="14"/>
    </row>
    <row r="7" customFormat="false" ht="48" hidden="false" customHeight="true" outlineLevel="0" collapsed="false">
      <c r="A7" s="13" t="n">
        <v>6</v>
      </c>
      <c r="B7" s="13" t="s">
        <v>47</v>
      </c>
      <c r="C7" s="14" t="s">
        <v>133</v>
      </c>
      <c r="D7" s="13" t="s">
        <v>133</v>
      </c>
      <c r="E7" s="13" t="s">
        <v>37</v>
      </c>
      <c r="F7" s="13" t="s">
        <v>131</v>
      </c>
      <c r="G7" s="13" t="s">
        <v>134</v>
      </c>
      <c r="H7" s="13"/>
      <c r="I7" s="14" t="s">
        <v>135</v>
      </c>
      <c r="J7" s="13" t="s">
        <v>136</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47</v>
      </c>
      <c r="C8" s="14" t="s">
        <v>138</v>
      </c>
      <c r="D8" s="13" t="s">
        <v>138</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139</v>
      </c>
      <c r="AA8" s="13" t="s">
        <v>118</v>
      </c>
      <c r="AB8" s="14"/>
    </row>
    <row r="9" customFormat="false" ht="48" hidden="false" customHeight="true" outlineLevel="0" collapsed="false">
      <c r="A9" s="13" t="n">
        <v>8</v>
      </c>
      <c r="B9" s="13" t="s">
        <v>47</v>
      </c>
      <c r="C9" s="14" t="s">
        <v>140</v>
      </c>
      <c r="D9" s="13" t="s">
        <v>141</v>
      </c>
      <c r="E9" s="13" t="s">
        <v>36</v>
      </c>
      <c r="F9" s="13" t="s">
        <v>142</v>
      </c>
      <c r="G9" s="13" t="s">
        <v>98</v>
      </c>
      <c r="H9" s="13"/>
      <c r="I9" s="14" t="s">
        <v>143</v>
      </c>
      <c r="J9" s="15"/>
      <c r="K9" s="14"/>
      <c r="L9" s="15"/>
      <c r="M9" s="13" t="str">
        <f aca="false">IF(L9="","",说明!$B$4-L9)</f>
        <v/>
      </c>
      <c r="N9" s="14"/>
      <c r="O9" s="15"/>
      <c r="P9" s="15"/>
      <c r="Q9" s="14"/>
      <c r="R9" s="13" t="str">
        <f aca="false">IF(AND(P9="",O9=""),"",IF(OR(N(P9)&gt;=说明!$B$5,N(O9)&gt;=说明!$B$6),"大型",IF(OR(N(P9)&gt;=说明!$B$7,N(O9)&gt;=说明!$B$8),"中型","小型")))</f>
        <v/>
      </c>
      <c r="S9" s="14" t="s">
        <v>144</v>
      </c>
      <c r="T9" s="13"/>
      <c r="U9" s="15"/>
      <c r="V9" s="15"/>
      <c r="W9" s="13"/>
      <c r="X9" s="14" t="s">
        <v>145</v>
      </c>
      <c r="Y9" s="14"/>
      <c r="Z9" s="16" t="s">
        <v>146</v>
      </c>
      <c r="AA9" s="13" t="s">
        <v>109</v>
      </c>
      <c r="AB9" s="14" t="s">
        <v>147</v>
      </c>
    </row>
    <row r="10" customFormat="false" ht="48" hidden="false" customHeight="true" outlineLevel="0" collapsed="false">
      <c r="A10" s="13" t="n">
        <v>9</v>
      </c>
      <c r="B10" s="13" t="s">
        <v>47</v>
      </c>
      <c r="C10" s="14" t="s">
        <v>148</v>
      </c>
      <c r="D10" s="13" t="s">
        <v>148</v>
      </c>
      <c r="E10" s="13" t="s">
        <v>36</v>
      </c>
      <c r="F10" s="13" t="s">
        <v>131</v>
      </c>
      <c r="G10" s="13" t="s">
        <v>134</v>
      </c>
      <c r="H10" s="13"/>
      <c r="I10" s="14" t="s">
        <v>149</v>
      </c>
      <c r="J10" s="13" t="s">
        <v>150</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47</v>
      </c>
      <c r="C11" s="14" t="s">
        <v>151</v>
      </c>
      <c r="D11" s="13" t="s">
        <v>152</v>
      </c>
      <c r="E11" s="13" t="s">
        <v>38</v>
      </c>
      <c r="F11" s="13" t="s">
        <v>131</v>
      </c>
      <c r="G11" s="13" t="s">
        <v>134</v>
      </c>
      <c r="H11" s="13"/>
      <c r="I11" s="14" t="s">
        <v>153</v>
      </c>
      <c r="J11" s="13" t="s">
        <v>154</v>
      </c>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48</v>
      </c>
      <c r="C2" s="14" t="s">
        <v>156</v>
      </c>
      <c r="D2" s="13" t="s">
        <v>157</v>
      </c>
      <c r="E2" s="13" t="s">
        <v>37</v>
      </c>
      <c r="F2" s="13" t="s">
        <v>97</v>
      </c>
      <c r="G2" s="13" t="s">
        <v>98</v>
      </c>
      <c r="H2" s="13"/>
      <c r="I2" s="14" t="s">
        <v>158</v>
      </c>
      <c r="J2" s="13" t="s">
        <v>159</v>
      </c>
      <c r="K2" s="14"/>
      <c r="L2" s="13" t="n">
        <v>2013</v>
      </c>
      <c r="M2" s="13" t="n">
        <f aca="false">IF(L2="","",说明!$B$4-L2)</f>
        <v>13</v>
      </c>
      <c r="N2" s="14" t="s">
        <v>160</v>
      </c>
      <c r="O2" s="15"/>
      <c r="P2" s="13" t="n">
        <v>5000</v>
      </c>
      <c r="Q2" s="14" t="s">
        <v>161</v>
      </c>
      <c r="R2" s="13" t="str">
        <f aca="false">IF(AND(P2="",O2=""),"",IF(OR(N(P2)&gt;=说明!$B$5,N(O2)&gt;=说明!$B$6),"大型",IF(OR(N(P2)&gt;=说明!$B$7,N(O2)&gt;=说明!$B$8),"中型","小型")))</f>
        <v>大型</v>
      </c>
      <c r="S2" s="14" t="s">
        <v>162</v>
      </c>
      <c r="T2" s="13" t="s">
        <v>163</v>
      </c>
      <c r="U2" s="15"/>
      <c r="V2" s="15"/>
      <c r="W2" s="13"/>
      <c r="X2" s="14" t="s">
        <v>164</v>
      </c>
      <c r="Y2" s="14" t="s">
        <v>165</v>
      </c>
      <c r="Z2" s="16" t="s">
        <v>166</v>
      </c>
      <c r="AA2" s="13" t="s">
        <v>109</v>
      </c>
      <c r="AB2" s="14" t="s">
        <v>167</v>
      </c>
    </row>
    <row r="3" customFormat="false" ht="48" hidden="false" customHeight="true" outlineLevel="0" collapsed="false">
      <c r="A3" s="13" t="n">
        <v>2</v>
      </c>
      <c r="B3" s="13" t="s">
        <v>48</v>
      </c>
      <c r="C3" s="14" t="s">
        <v>168</v>
      </c>
      <c r="D3" s="13" t="s">
        <v>169</v>
      </c>
      <c r="E3" s="13" t="s">
        <v>41</v>
      </c>
      <c r="F3" s="13" t="s">
        <v>97</v>
      </c>
      <c r="G3" s="13" t="s">
        <v>170</v>
      </c>
      <c r="H3" s="13"/>
      <c r="I3" s="14" t="s">
        <v>171</v>
      </c>
      <c r="J3" s="13" t="s">
        <v>172</v>
      </c>
      <c r="K3" s="14" t="s">
        <v>173</v>
      </c>
      <c r="L3" s="15"/>
      <c r="M3" s="13" t="str">
        <f aca="false">IF(L3="","",说明!$B$4-L3)</f>
        <v/>
      </c>
      <c r="N3" s="14"/>
      <c r="O3" s="15"/>
      <c r="P3" s="15"/>
      <c r="Q3" s="14" t="s">
        <v>174</v>
      </c>
      <c r="R3" s="13" t="str">
        <f aca="false">IF(AND(P3="",O3=""),"",IF(OR(N(P3)&gt;=说明!$B$5,N(O3)&gt;=说明!$B$6),"大型",IF(OR(N(P3)&gt;=说明!$B$7,N(O3)&gt;=说明!$B$8),"中型","小型")))</f>
        <v/>
      </c>
      <c r="S3" s="14" t="s">
        <v>175</v>
      </c>
      <c r="T3" s="13"/>
      <c r="U3" s="15"/>
      <c r="V3" s="15"/>
      <c r="W3" s="13"/>
      <c r="X3" s="14"/>
      <c r="Y3" s="14" t="s">
        <v>176</v>
      </c>
      <c r="Z3" s="16" t="s">
        <v>177</v>
      </c>
      <c r="AA3" s="13" t="s">
        <v>109</v>
      </c>
      <c r="AB3" s="14" t="s">
        <v>178</v>
      </c>
    </row>
    <row r="4" customFormat="false" ht="48" hidden="false" customHeight="true" outlineLevel="0" collapsed="false">
      <c r="A4" s="13" t="n">
        <v>3</v>
      </c>
      <c r="B4" s="13" t="s">
        <v>48</v>
      </c>
      <c r="C4" s="14" t="s">
        <v>179</v>
      </c>
      <c r="D4" s="13" t="s">
        <v>180</v>
      </c>
      <c r="E4" s="13" t="s">
        <v>36</v>
      </c>
      <c r="F4" s="13" t="s">
        <v>97</v>
      </c>
      <c r="G4" s="13" t="s">
        <v>98</v>
      </c>
      <c r="H4" s="13"/>
      <c r="I4" s="14" t="s">
        <v>181</v>
      </c>
      <c r="J4" s="15"/>
      <c r="K4" s="14"/>
      <c r="L4" s="15"/>
      <c r="M4" s="13" t="str">
        <f aca="false">IF(L4="","",说明!$B$4-L4)</f>
        <v/>
      </c>
      <c r="N4" s="14"/>
      <c r="O4" s="15"/>
      <c r="P4" s="15"/>
      <c r="Q4" s="14" t="s">
        <v>182</v>
      </c>
      <c r="R4" s="13" t="str">
        <f aca="false">IF(AND(P4="",O4=""),"",IF(OR(N(P4)&gt;=说明!$B$5,N(O4)&gt;=说明!$B$6),"大型",IF(OR(N(P4)&gt;=说明!$B$7,N(O4)&gt;=说明!$B$8),"中型","小型")))</f>
        <v/>
      </c>
      <c r="S4" s="14"/>
      <c r="T4" s="13"/>
      <c r="U4" s="15"/>
      <c r="V4" s="15"/>
      <c r="W4" s="13"/>
      <c r="X4" s="14"/>
      <c r="Y4" s="14"/>
      <c r="Z4" s="16" t="s">
        <v>183</v>
      </c>
      <c r="AA4" s="13" t="s">
        <v>118</v>
      </c>
      <c r="AB4" s="14"/>
    </row>
    <row r="5" customFormat="false" ht="48" hidden="false" customHeight="true" outlineLevel="0" collapsed="false">
      <c r="A5" s="13" t="n">
        <v>4</v>
      </c>
      <c r="B5" s="13" t="s">
        <v>48</v>
      </c>
      <c r="C5" s="14" t="s">
        <v>184</v>
      </c>
      <c r="D5" s="13" t="s">
        <v>185</v>
      </c>
      <c r="E5" s="13" t="s">
        <v>36</v>
      </c>
      <c r="F5" s="13" t="s">
        <v>97</v>
      </c>
      <c r="G5" s="13" t="s">
        <v>186</v>
      </c>
      <c r="H5" s="13"/>
      <c r="I5" s="14" t="s">
        <v>187</v>
      </c>
      <c r="J5" s="15"/>
      <c r="K5" s="14"/>
      <c r="L5" s="15"/>
      <c r="M5" s="13" t="str">
        <f aca="false">IF(L5="","",说明!$B$4-L5)</f>
        <v/>
      </c>
      <c r="N5" s="14"/>
      <c r="O5" s="15"/>
      <c r="P5" s="15"/>
      <c r="Q5" s="14"/>
      <c r="R5" s="13" t="str">
        <f aca="false">IF(AND(P5="",O5=""),"",IF(OR(N(P5)&gt;=说明!$B$5,N(O5)&gt;=说明!$B$6),"大型",IF(OR(N(P5)&gt;=说明!$B$7,N(O5)&gt;=说明!$B$8),"中型","小型")))</f>
        <v/>
      </c>
      <c r="S5" s="14"/>
      <c r="T5" s="13" t="s">
        <v>188</v>
      </c>
      <c r="U5" s="15"/>
      <c r="V5" s="15"/>
      <c r="W5" s="13"/>
      <c r="X5" s="14"/>
      <c r="Y5" s="14"/>
      <c r="Z5" s="16" t="s">
        <v>189</v>
      </c>
      <c r="AA5" s="13" t="s">
        <v>118</v>
      </c>
      <c r="AB5" s="14" t="s">
        <v>190</v>
      </c>
    </row>
    <row r="6" customFormat="false" ht="48" hidden="false" customHeight="true" outlineLevel="0" collapsed="false">
      <c r="A6" s="13" t="n">
        <v>5</v>
      </c>
      <c r="B6" s="13" t="s">
        <v>48</v>
      </c>
      <c r="C6" s="14" t="s">
        <v>191</v>
      </c>
      <c r="D6" s="13" t="s">
        <v>192</v>
      </c>
      <c r="E6" s="13" t="s">
        <v>37</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193</v>
      </c>
      <c r="AA6" s="13" t="s">
        <v>118</v>
      </c>
      <c r="AB6" s="14"/>
    </row>
    <row r="7" customFormat="false" ht="48" hidden="false" customHeight="true" outlineLevel="0" collapsed="false">
      <c r="A7" s="13" t="n">
        <v>6</v>
      </c>
      <c r="B7" s="13" t="s">
        <v>48</v>
      </c>
      <c r="C7" s="14" t="s">
        <v>194</v>
      </c>
      <c r="D7" s="13" t="s">
        <v>194</v>
      </c>
      <c r="E7" s="13" t="s">
        <v>36</v>
      </c>
      <c r="F7" s="13" t="s">
        <v>127</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195</v>
      </c>
      <c r="AA7" s="13" t="s">
        <v>118</v>
      </c>
      <c r="AB7" s="14"/>
    </row>
    <row r="8" customFormat="false" ht="48" hidden="false" customHeight="true" outlineLevel="0" collapsed="false">
      <c r="A8" s="13" t="n">
        <v>7</v>
      </c>
      <c r="B8" s="13" t="s">
        <v>48</v>
      </c>
      <c r="C8" s="14" t="s">
        <v>196</v>
      </c>
      <c r="D8" s="13" t="s">
        <v>196</v>
      </c>
      <c r="E8" s="13" t="s">
        <v>37</v>
      </c>
      <c r="F8" s="13" t="s">
        <v>131</v>
      </c>
      <c r="G8" s="13" t="s">
        <v>134</v>
      </c>
      <c r="H8" s="13"/>
      <c r="I8" s="14" t="s">
        <v>197</v>
      </c>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137</v>
      </c>
      <c r="AA8" s="13" t="s">
        <v>109</v>
      </c>
      <c r="AB8" s="14"/>
    </row>
    <row r="9" customFormat="false" ht="48" hidden="false" customHeight="true" outlineLevel="0" collapsed="false">
      <c r="A9" s="13" t="n">
        <v>8</v>
      </c>
      <c r="B9" s="13" t="s">
        <v>48</v>
      </c>
      <c r="C9" s="14" t="s">
        <v>198</v>
      </c>
      <c r="D9" s="13" t="s">
        <v>198</v>
      </c>
      <c r="E9" s="13" t="s">
        <v>37</v>
      </c>
      <c r="F9" s="13" t="s">
        <v>131</v>
      </c>
      <c r="G9" s="13" t="s">
        <v>134</v>
      </c>
      <c r="H9" s="13"/>
      <c r="I9" s="14" t="s">
        <v>199</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48</v>
      </c>
      <c r="C10" s="14" t="s">
        <v>200</v>
      </c>
      <c r="D10" s="13" t="s">
        <v>200</v>
      </c>
      <c r="E10" s="13" t="s">
        <v>41</v>
      </c>
      <c r="F10" s="13" t="s">
        <v>131</v>
      </c>
      <c r="G10" s="13" t="s">
        <v>134</v>
      </c>
      <c r="H10" s="13"/>
      <c r="I10" s="14" t="s">
        <v>201</v>
      </c>
      <c r="J10" s="13" t="s">
        <v>202</v>
      </c>
      <c r="K10" s="14"/>
      <c r="L10" s="15"/>
      <c r="M10" s="13" t="str">
        <f aca="false">IF(L10="","",说明!$B$4-L10)</f>
        <v/>
      </c>
      <c r="N10" s="14"/>
      <c r="O10" s="15"/>
      <c r="P10" s="15"/>
      <c r="Q10" s="14"/>
      <c r="R10" s="13" t="str">
        <f aca="false">IF(AND(P10="",O10=""),"",IF(OR(N(P10)&gt;=说明!$B$5,N(O10)&gt;=说明!$B$6),"大型",IF(OR(N(P10)&gt;=说明!$B$7,N(O10)&gt;=说明!$B$8),"中型","小型")))</f>
        <v/>
      </c>
      <c r="S10" s="14" t="s">
        <v>203</v>
      </c>
      <c r="T10" s="13"/>
      <c r="U10" s="15"/>
      <c r="V10" s="15"/>
      <c r="W10" s="13"/>
      <c r="X10" s="14"/>
      <c r="Y10" s="14"/>
      <c r="Z10" s="16" t="s">
        <v>204</v>
      </c>
      <c r="AA10" s="13" t="s">
        <v>109</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49</v>
      </c>
      <c r="C2" s="14" t="s">
        <v>205</v>
      </c>
      <c r="D2" s="13" t="s">
        <v>206</v>
      </c>
      <c r="E2" s="13" t="s">
        <v>36</v>
      </c>
      <c r="F2" s="13" t="s">
        <v>97</v>
      </c>
      <c r="G2" s="13" t="s">
        <v>98</v>
      </c>
      <c r="H2" s="13"/>
      <c r="I2" s="14" t="s">
        <v>207</v>
      </c>
      <c r="J2" s="15"/>
      <c r="K2" s="14"/>
      <c r="L2" s="15"/>
      <c r="M2" s="13" t="str">
        <f aca="false">IF(L2="","",说明!$B$4-L2)</f>
        <v/>
      </c>
      <c r="N2" s="14"/>
      <c r="O2" s="15"/>
      <c r="P2" s="15"/>
      <c r="Q2" s="14"/>
      <c r="R2" s="13" t="str">
        <f aca="false">IF(AND(P2="",O2=""),"",IF(OR(N(P2)&gt;=说明!$B$5,N(O2)&gt;=说明!$B$6),"大型",IF(OR(N(P2)&gt;=说明!$B$7,N(O2)&gt;=说明!$B$8),"中型","小型")))</f>
        <v/>
      </c>
      <c r="S2" s="14" t="s">
        <v>208</v>
      </c>
      <c r="T2" s="13"/>
      <c r="U2" s="15"/>
      <c r="V2" s="15"/>
      <c r="W2" s="13"/>
      <c r="X2" s="14"/>
      <c r="Y2" s="14"/>
      <c r="Z2" s="16" t="s">
        <v>209</v>
      </c>
      <c r="AA2" s="13" t="s">
        <v>109</v>
      </c>
      <c r="AB2" s="14" t="s">
        <v>210</v>
      </c>
    </row>
    <row r="3" customFormat="false" ht="48" hidden="false" customHeight="true" outlineLevel="0" collapsed="false">
      <c r="A3" s="13" t="n">
        <v>2</v>
      </c>
      <c r="B3" s="13" t="s">
        <v>49</v>
      </c>
      <c r="C3" s="14" t="s">
        <v>211</v>
      </c>
      <c r="D3" s="13" t="s">
        <v>212</v>
      </c>
      <c r="E3" s="13" t="s">
        <v>36</v>
      </c>
      <c r="F3" s="13" t="s">
        <v>97</v>
      </c>
      <c r="G3" s="13" t="s">
        <v>98</v>
      </c>
      <c r="H3" s="13"/>
      <c r="I3" s="14" t="s">
        <v>213</v>
      </c>
      <c r="J3" s="15"/>
      <c r="K3" s="14"/>
      <c r="L3" s="15"/>
      <c r="M3" s="13" t="str">
        <f aca="false">IF(L3="","",说明!$B$4-L3)</f>
        <v/>
      </c>
      <c r="N3" s="14"/>
      <c r="O3" s="15"/>
      <c r="P3" s="15"/>
      <c r="Q3" s="14"/>
      <c r="R3" s="13" t="str">
        <f aca="false">IF(AND(P3="",O3=""),"",IF(OR(N(P3)&gt;=说明!$B$5,N(O3)&gt;=说明!$B$6),"大型",IF(OR(N(P3)&gt;=说明!$B$7,N(O3)&gt;=说明!$B$8),"中型","小型")))</f>
        <v/>
      </c>
      <c r="S3" s="14" t="s">
        <v>208</v>
      </c>
      <c r="T3" s="13"/>
      <c r="U3" s="15"/>
      <c r="V3" s="15"/>
      <c r="W3" s="13"/>
      <c r="X3" s="14"/>
      <c r="Y3" s="14"/>
      <c r="Z3" s="16" t="s">
        <v>209</v>
      </c>
      <c r="AA3" s="13" t="s">
        <v>109</v>
      </c>
      <c r="AB3" s="14" t="s">
        <v>210</v>
      </c>
    </row>
    <row r="4" customFormat="false" ht="48" hidden="false" customHeight="true" outlineLevel="0" collapsed="false">
      <c r="A4" s="13" t="n">
        <v>3</v>
      </c>
      <c r="B4" s="13" t="s">
        <v>49</v>
      </c>
      <c r="C4" s="14" t="s">
        <v>214</v>
      </c>
      <c r="D4" s="13" t="s">
        <v>180</v>
      </c>
      <c r="E4" s="13" t="s">
        <v>36</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215</v>
      </c>
      <c r="AA4" s="13" t="s">
        <v>118</v>
      </c>
      <c r="AB4" s="14"/>
    </row>
    <row r="5" customFormat="false" ht="48" hidden="false" customHeight="true" outlineLevel="0" collapsed="false">
      <c r="A5" s="13" t="n">
        <v>4</v>
      </c>
      <c r="B5" s="13" t="s">
        <v>49</v>
      </c>
      <c r="C5" s="14" t="s">
        <v>216</v>
      </c>
      <c r="D5" s="13"/>
      <c r="E5" s="13" t="s">
        <v>40</v>
      </c>
      <c r="F5" s="13" t="s">
        <v>217</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218</v>
      </c>
      <c r="T5" s="13"/>
      <c r="U5" s="15"/>
      <c r="V5" s="15"/>
      <c r="W5" s="13"/>
      <c r="X5" s="14"/>
      <c r="Y5" s="14"/>
      <c r="Z5" s="16" t="s">
        <v>219</v>
      </c>
      <c r="AA5" s="13" t="s">
        <v>118</v>
      </c>
      <c r="AB5" s="14" t="s">
        <v>220</v>
      </c>
    </row>
    <row r="6" customFormat="false" ht="48" hidden="false" customHeight="true" outlineLevel="0" collapsed="false">
      <c r="A6" s="13" t="n">
        <v>5</v>
      </c>
      <c r="B6" s="13" t="s">
        <v>49</v>
      </c>
      <c r="C6" s="14" t="s">
        <v>221</v>
      </c>
      <c r="D6" s="13" t="s">
        <v>221</v>
      </c>
      <c r="E6" s="13" t="s">
        <v>37</v>
      </c>
      <c r="F6" s="13" t="s">
        <v>131</v>
      </c>
      <c r="G6" s="13" t="s">
        <v>134</v>
      </c>
      <c r="H6" s="13"/>
      <c r="I6" s="14" t="s">
        <v>222</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49</v>
      </c>
      <c r="C7" s="14" t="s">
        <v>223</v>
      </c>
      <c r="D7" s="13" t="s">
        <v>224</v>
      </c>
      <c r="E7" s="13" t="s">
        <v>37</v>
      </c>
      <c r="F7" s="13" t="s">
        <v>131</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225</v>
      </c>
      <c r="AA7" s="13" t="s">
        <v>118</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50</v>
      </c>
      <c r="C2" s="14" t="s">
        <v>226</v>
      </c>
      <c r="D2" s="13" t="s">
        <v>227</v>
      </c>
      <c r="E2" s="13" t="s">
        <v>36</v>
      </c>
      <c r="F2" s="13" t="s">
        <v>97</v>
      </c>
      <c r="G2" s="13" t="s">
        <v>98</v>
      </c>
      <c r="H2" s="13"/>
      <c r="I2" s="14"/>
      <c r="J2" s="15"/>
      <c r="K2" s="14"/>
      <c r="L2" s="13" t="n">
        <v>2016</v>
      </c>
      <c r="M2" s="13" t="n">
        <f aca="false">IF(L2="","",说明!$B$4-L2)</f>
        <v>10</v>
      </c>
      <c r="N2" s="14" t="s">
        <v>228</v>
      </c>
      <c r="O2" s="15"/>
      <c r="P2" s="15"/>
      <c r="Q2" s="14"/>
      <c r="R2" s="13" t="str">
        <f aca="false">IF(AND(P2="",O2=""),"",IF(OR(N(P2)&gt;=说明!$B$5,N(O2)&gt;=说明!$B$6),"大型",IF(OR(N(P2)&gt;=说明!$B$7,N(O2)&gt;=说明!$B$8),"中型","小型")))</f>
        <v/>
      </c>
      <c r="S2" s="14" t="s">
        <v>229</v>
      </c>
      <c r="T2" s="13" t="s">
        <v>230</v>
      </c>
      <c r="U2" s="15"/>
      <c r="V2" s="15"/>
      <c r="W2" s="13"/>
      <c r="X2" s="14"/>
      <c r="Y2" s="14" t="s">
        <v>231</v>
      </c>
      <c r="Z2" s="16" t="s">
        <v>232</v>
      </c>
      <c r="AA2" s="13" t="s">
        <v>109</v>
      </c>
      <c r="AB2" s="14"/>
    </row>
    <row r="3" customFormat="false" ht="48" hidden="false" customHeight="true" outlineLevel="0" collapsed="false">
      <c r="A3" s="13" t="n">
        <v>2</v>
      </c>
      <c r="B3" s="13" t="s">
        <v>50</v>
      </c>
      <c r="C3" s="14" t="s">
        <v>233</v>
      </c>
      <c r="D3" s="13" t="s">
        <v>180</v>
      </c>
      <c r="E3" s="13" t="s">
        <v>36</v>
      </c>
      <c r="F3" s="13" t="s">
        <v>97</v>
      </c>
      <c r="G3" s="13" t="s">
        <v>234</v>
      </c>
      <c r="H3" s="13"/>
      <c r="I3" s="14" t="s">
        <v>235</v>
      </c>
      <c r="J3" s="13" t="s">
        <v>236</v>
      </c>
      <c r="K3" s="14" t="s">
        <v>237</v>
      </c>
      <c r="L3" s="13" t="n">
        <v>2016</v>
      </c>
      <c r="M3" s="13" t="n">
        <f aca="false">IF(L3="","",说明!$B$4-L3)</f>
        <v>10</v>
      </c>
      <c r="N3" s="14" t="s">
        <v>238</v>
      </c>
      <c r="O3" s="15"/>
      <c r="P3" s="13" t="n">
        <v>550</v>
      </c>
      <c r="Q3" s="14" t="s">
        <v>239</v>
      </c>
      <c r="R3" s="13" t="str">
        <f aca="false">IF(AND(P3="",O3=""),"",IF(OR(N(P3)&gt;=说明!$B$5,N(O3)&gt;=说明!$B$6),"大型",IF(OR(N(P3)&gt;=说明!$B$7,N(O3)&gt;=说明!$B$8),"中型","小型")))</f>
        <v>大型</v>
      </c>
      <c r="S3" s="14" t="s">
        <v>240</v>
      </c>
      <c r="T3" s="13" t="s">
        <v>241</v>
      </c>
      <c r="U3" s="15"/>
      <c r="V3" s="15"/>
      <c r="W3" s="13"/>
      <c r="X3" s="14"/>
      <c r="Y3" s="14" t="s">
        <v>242</v>
      </c>
      <c r="Z3" s="16" t="s">
        <v>243</v>
      </c>
      <c r="AA3" s="13" t="s">
        <v>109</v>
      </c>
      <c r="AB3" s="14" t="s">
        <v>244</v>
      </c>
    </row>
    <row r="4" customFormat="false" ht="48" hidden="false" customHeight="true" outlineLevel="0" collapsed="false">
      <c r="A4" s="13" t="n">
        <v>3</v>
      </c>
      <c r="B4" s="13" t="s">
        <v>50</v>
      </c>
      <c r="C4" s="14" t="s">
        <v>245</v>
      </c>
      <c r="D4" s="13" t="s">
        <v>246</v>
      </c>
      <c r="E4" s="13" t="s">
        <v>36</v>
      </c>
      <c r="F4" s="13" t="s">
        <v>97</v>
      </c>
      <c r="G4" s="13" t="s">
        <v>247</v>
      </c>
      <c r="H4" s="13"/>
      <c r="I4" s="14" t="s">
        <v>248</v>
      </c>
      <c r="J4" s="15"/>
      <c r="K4" s="14"/>
      <c r="L4" s="15"/>
      <c r="M4" s="13" t="str">
        <f aca="false">IF(L4="","",说明!$B$4-L4)</f>
        <v/>
      </c>
      <c r="N4" s="14"/>
      <c r="O4" s="15"/>
      <c r="P4" s="15"/>
      <c r="Q4" s="14"/>
      <c r="R4" s="13" t="str">
        <f aca="false">IF(AND(P4="",O4=""),"",IF(OR(N(P4)&gt;=说明!$B$5,N(O4)&gt;=说明!$B$6),"大型",IF(OR(N(P4)&gt;=说明!$B$7,N(O4)&gt;=说明!$B$8),"中型","小型")))</f>
        <v/>
      </c>
      <c r="S4" s="14" t="s">
        <v>249</v>
      </c>
      <c r="T4" s="13"/>
      <c r="U4" s="15"/>
      <c r="V4" s="15"/>
      <c r="W4" s="13"/>
      <c r="X4" s="14"/>
      <c r="Y4" s="14"/>
      <c r="Z4" s="16" t="s">
        <v>250</v>
      </c>
      <c r="AA4" s="13" t="s">
        <v>109</v>
      </c>
      <c r="AB4" s="14" t="s">
        <v>251</v>
      </c>
    </row>
    <row r="5" customFormat="false" ht="48" hidden="false" customHeight="true" outlineLevel="0" collapsed="false">
      <c r="A5" s="13" t="n">
        <v>4</v>
      </c>
      <c r="B5" s="13" t="s">
        <v>50</v>
      </c>
      <c r="C5" s="14" t="s">
        <v>252</v>
      </c>
      <c r="D5" s="13" t="s">
        <v>252</v>
      </c>
      <c r="E5" s="13" t="s">
        <v>37</v>
      </c>
      <c r="F5" s="13" t="s">
        <v>127</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253</v>
      </c>
      <c r="AA5" s="13" t="s">
        <v>118</v>
      </c>
      <c r="AB5" s="14"/>
    </row>
    <row r="6" customFormat="false" ht="48" hidden="false" customHeight="true" outlineLevel="0" collapsed="false">
      <c r="A6" s="13" t="n">
        <v>5</v>
      </c>
      <c r="B6" s="13" t="s">
        <v>50</v>
      </c>
      <c r="C6" s="14" t="s">
        <v>254</v>
      </c>
      <c r="D6" s="13" t="s">
        <v>255</v>
      </c>
      <c r="E6" s="13" t="s">
        <v>36</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256</v>
      </c>
      <c r="AA6" s="13" t="s">
        <v>118</v>
      </c>
      <c r="AB6" s="14"/>
    </row>
    <row r="7" customFormat="false" ht="48" hidden="false" customHeight="true" outlineLevel="0" collapsed="false">
      <c r="A7" s="13" t="n">
        <v>6</v>
      </c>
      <c r="B7" s="13" t="s">
        <v>50</v>
      </c>
      <c r="C7" s="14" t="s">
        <v>257</v>
      </c>
      <c r="D7" s="13" t="s">
        <v>257</v>
      </c>
      <c r="E7" s="13" t="s">
        <v>37</v>
      </c>
      <c r="F7" s="13" t="s">
        <v>131</v>
      </c>
      <c r="G7" s="13" t="s">
        <v>134</v>
      </c>
      <c r="H7" s="13"/>
      <c r="I7" s="14" t="s">
        <v>258</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50</v>
      </c>
      <c r="C8" s="14" t="s">
        <v>259</v>
      </c>
      <c r="D8" s="13" t="s">
        <v>260</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261</v>
      </c>
      <c r="AA8" s="13" t="s">
        <v>118</v>
      </c>
      <c r="AB8" s="14"/>
    </row>
    <row r="9" customFormat="false" ht="48" hidden="false" customHeight="true" outlineLevel="0" collapsed="false">
      <c r="A9" s="13" t="n">
        <v>8</v>
      </c>
      <c r="B9" s="13" t="s">
        <v>50</v>
      </c>
      <c r="C9" s="14" t="s">
        <v>262</v>
      </c>
      <c r="D9" s="13" t="s">
        <v>260</v>
      </c>
      <c r="E9" s="13" t="s">
        <v>37</v>
      </c>
      <c r="F9" s="13" t="s">
        <v>131</v>
      </c>
      <c r="G9" s="13" t="s">
        <v>134</v>
      </c>
      <c r="H9" s="13"/>
      <c r="I9" s="14" t="s">
        <v>263</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50</v>
      </c>
      <c r="C10" s="14" t="s">
        <v>264</v>
      </c>
      <c r="D10" s="13" t="s">
        <v>265</v>
      </c>
      <c r="E10" s="13" t="s">
        <v>37</v>
      </c>
      <c r="F10" s="13" t="s">
        <v>131</v>
      </c>
      <c r="G10" s="13" t="s">
        <v>134</v>
      </c>
      <c r="H10" s="13"/>
      <c r="I10" s="14" t="s">
        <v>266</v>
      </c>
      <c r="J10" s="13" t="s">
        <v>267</v>
      </c>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row r="11" customFormat="false" ht="48" hidden="false" customHeight="true" outlineLevel="0" collapsed="false">
      <c r="A11" s="13" t="n">
        <v>10</v>
      </c>
      <c r="B11" s="13" t="s">
        <v>50</v>
      </c>
      <c r="C11" s="14" t="s">
        <v>268</v>
      </c>
      <c r="D11" s="13" t="s">
        <v>269</v>
      </c>
      <c r="E11" s="13" t="s">
        <v>37</v>
      </c>
      <c r="F11" s="13" t="s">
        <v>131</v>
      </c>
      <c r="G11" s="13" t="s">
        <v>128</v>
      </c>
      <c r="H11" s="13"/>
      <c r="I11" s="14"/>
      <c r="J11" s="15"/>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270</v>
      </c>
      <c r="AA11" s="13" t="s">
        <v>118</v>
      </c>
      <c r="AB11" s="14"/>
    </row>
    <row r="12" customFormat="false" ht="48" hidden="false" customHeight="true" outlineLevel="0" collapsed="false">
      <c r="A12" s="13" t="n">
        <v>11</v>
      </c>
      <c r="B12" s="13" t="s">
        <v>50</v>
      </c>
      <c r="C12" s="14" t="s">
        <v>271</v>
      </c>
      <c r="D12" s="13" t="s">
        <v>269</v>
      </c>
      <c r="E12" s="13" t="s">
        <v>37</v>
      </c>
      <c r="F12" s="13" t="s">
        <v>131</v>
      </c>
      <c r="G12" s="13" t="s">
        <v>134</v>
      </c>
      <c r="H12" s="13"/>
      <c r="I12" s="14" t="s">
        <v>272</v>
      </c>
      <c r="J12" s="13" t="s">
        <v>273</v>
      </c>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c r="X12" s="14"/>
      <c r="Y12" s="14"/>
      <c r="Z12" s="16" t="s">
        <v>137</v>
      </c>
      <c r="AA12" s="13" t="s">
        <v>109</v>
      </c>
      <c r="AB12" s="14"/>
    </row>
    <row r="13" customFormat="false" ht="48" hidden="false" customHeight="true" outlineLevel="0" collapsed="false">
      <c r="A13" s="13" t="n">
        <v>12</v>
      </c>
      <c r="B13" s="13" t="s">
        <v>50</v>
      </c>
      <c r="C13" s="14" t="s">
        <v>274</v>
      </c>
      <c r="D13" s="13" t="s">
        <v>275</v>
      </c>
      <c r="E13" s="13" t="s">
        <v>41</v>
      </c>
      <c r="F13" s="13" t="s">
        <v>142</v>
      </c>
      <c r="G13" s="13" t="s">
        <v>98</v>
      </c>
      <c r="H13" s="13"/>
      <c r="I13" s="14" t="s">
        <v>276</v>
      </c>
      <c r="J13" s="15"/>
      <c r="K13" s="14"/>
      <c r="L13" s="13" t="n">
        <v>2023</v>
      </c>
      <c r="M13" s="13" t="n">
        <f aca="false">IF(L13="","",说明!$B$4-L13)</f>
        <v>3</v>
      </c>
      <c r="N13" s="14" t="s">
        <v>277</v>
      </c>
      <c r="O13" s="15"/>
      <c r="P13" s="15"/>
      <c r="Q13" s="14"/>
      <c r="R13" s="13" t="str">
        <f aca="false">IF(AND(P13="",O13=""),"",IF(OR(N(P13)&gt;=说明!$B$5,N(O13)&gt;=说明!$B$6),"大型",IF(OR(N(P13)&gt;=说明!$B$7,N(O13)&gt;=说明!$B$8),"中型","小型")))</f>
        <v/>
      </c>
      <c r="S13" s="14" t="s">
        <v>278</v>
      </c>
      <c r="T13" s="13"/>
      <c r="U13" s="15"/>
      <c r="V13" s="15"/>
      <c r="W13" s="13"/>
      <c r="X13" s="14"/>
      <c r="Y13" s="14"/>
      <c r="Z13" s="16" t="s">
        <v>279</v>
      </c>
      <c r="AA13" s="13" t="s">
        <v>118</v>
      </c>
      <c r="AB13" s="14" t="s">
        <v>280</v>
      </c>
    </row>
    <row r="14" customFormat="false" ht="48" hidden="false" customHeight="true" outlineLevel="0" collapsed="false">
      <c r="A14" s="13" t="n">
        <v>13</v>
      </c>
      <c r="B14" s="13" t="s">
        <v>50</v>
      </c>
      <c r="C14" s="14" t="s">
        <v>281</v>
      </c>
      <c r="D14" s="13" t="s">
        <v>282</v>
      </c>
      <c r="E14" s="13" t="s">
        <v>36</v>
      </c>
      <c r="F14" s="13" t="s">
        <v>131</v>
      </c>
      <c r="G14" s="13" t="s">
        <v>98</v>
      </c>
      <c r="H14" s="13"/>
      <c r="I14" s="14"/>
      <c r="J14" s="15"/>
      <c r="K14" s="14"/>
      <c r="L14" s="15"/>
      <c r="M14" s="13" t="str">
        <f aca="false">IF(L14="","",说明!$B$4-L14)</f>
        <v/>
      </c>
      <c r="N14" s="14"/>
      <c r="O14" s="15"/>
      <c r="P14" s="15"/>
      <c r="Q14" s="14" t="s">
        <v>283</v>
      </c>
      <c r="R14" s="13" t="str">
        <f aca="false">IF(AND(P14="",O14=""),"",IF(OR(N(P14)&gt;=说明!$B$5,N(O14)&gt;=说明!$B$6),"大型",IF(OR(N(P14)&gt;=说明!$B$7,N(O14)&gt;=说明!$B$8),"中型","小型")))</f>
        <v/>
      </c>
      <c r="S14" s="14"/>
      <c r="T14" s="13"/>
      <c r="U14" s="15"/>
      <c r="V14" s="15"/>
      <c r="W14" s="13"/>
      <c r="X14" s="14"/>
      <c r="Y14" s="14"/>
      <c r="Z14" s="16" t="s">
        <v>284</v>
      </c>
      <c r="AA14" s="13" t="s">
        <v>118</v>
      </c>
      <c r="AB14" s="14"/>
    </row>
    <row r="15" customFormat="false" ht="48" hidden="false" customHeight="true" outlineLevel="0" collapsed="false">
      <c r="A15" s="13" t="n">
        <v>14</v>
      </c>
      <c r="B15" s="13" t="s">
        <v>50</v>
      </c>
      <c r="C15" s="14" t="s">
        <v>285</v>
      </c>
      <c r="D15" s="13" t="s">
        <v>285</v>
      </c>
      <c r="E15" s="13" t="s">
        <v>36</v>
      </c>
      <c r="F15" s="13" t="s">
        <v>131</v>
      </c>
      <c r="G15" s="13" t="s">
        <v>134</v>
      </c>
      <c r="H15" s="13"/>
      <c r="I15" s="14" t="s">
        <v>286</v>
      </c>
      <c r="J15" s="13" t="s">
        <v>287</v>
      </c>
      <c r="K15" s="14"/>
      <c r="L15" s="15"/>
      <c r="M15" s="13" t="str">
        <f aca="false">IF(L15="","",说明!$B$4-L15)</f>
        <v/>
      </c>
      <c r="N15" s="14"/>
      <c r="O15" s="15"/>
      <c r="P15" s="15"/>
      <c r="Q15" s="14"/>
      <c r="R15" s="13" t="str">
        <f aca="false">IF(AND(P15="",O15=""),"",IF(OR(N(P15)&gt;=说明!$B$5,N(O15)&gt;=说明!$B$6),"大型",IF(OR(N(P15)&gt;=说明!$B$7,N(O15)&gt;=说明!$B$8),"中型","小型")))</f>
        <v/>
      </c>
      <c r="S15" s="14"/>
      <c r="T15" s="13"/>
      <c r="U15" s="15"/>
      <c r="V15" s="15"/>
      <c r="W15" s="13"/>
      <c r="X15" s="14"/>
      <c r="Y15" s="14"/>
      <c r="Z15" s="16" t="s">
        <v>137</v>
      </c>
      <c r="AA15" s="13" t="s">
        <v>109</v>
      </c>
      <c r="AB1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51</v>
      </c>
      <c r="C2" s="14" t="s">
        <v>288</v>
      </c>
      <c r="D2" s="13" t="s">
        <v>289</v>
      </c>
      <c r="E2" s="13" t="s">
        <v>36</v>
      </c>
      <c r="F2" s="13" t="s">
        <v>97</v>
      </c>
      <c r="G2" s="13" t="s">
        <v>98</v>
      </c>
      <c r="H2" s="13"/>
      <c r="I2" s="14" t="s">
        <v>290</v>
      </c>
      <c r="J2" s="13" t="s">
        <v>291</v>
      </c>
      <c r="K2" s="14"/>
      <c r="L2" s="15"/>
      <c r="M2" s="13" t="str">
        <f aca="false">IF(L2="","",说明!$B$4-L2)</f>
        <v/>
      </c>
      <c r="N2" s="14"/>
      <c r="O2" s="15"/>
      <c r="P2" s="15"/>
      <c r="Q2" s="14" t="s">
        <v>292</v>
      </c>
      <c r="R2" s="13" t="str">
        <f aca="false">IF(AND(P2="",O2=""),"",IF(OR(N(P2)&gt;=说明!$B$5,N(O2)&gt;=说明!$B$6),"大型",IF(OR(N(P2)&gt;=说明!$B$7,N(O2)&gt;=说明!$B$8),"中型","小型")))</f>
        <v/>
      </c>
      <c r="S2" s="14" t="s">
        <v>293</v>
      </c>
      <c r="T2" s="13" t="s">
        <v>294</v>
      </c>
      <c r="U2" s="15"/>
      <c r="V2" s="15"/>
      <c r="W2" s="13" t="s">
        <v>295</v>
      </c>
      <c r="X2" s="14"/>
      <c r="Y2" s="14"/>
      <c r="Z2" s="16" t="s">
        <v>296</v>
      </c>
      <c r="AA2" s="13" t="s">
        <v>109</v>
      </c>
      <c r="AB2" s="14"/>
    </row>
    <row r="3" customFormat="false" ht="48" hidden="false" customHeight="true" outlineLevel="0" collapsed="false">
      <c r="A3" s="13" t="n">
        <v>2</v>
      </c>
      <c r="B3" s="13" t="s">
        <v>51</v>
      </c>
      <c r="C3" s="14" t="s">
        <v>297</v>
      </c>
      <c r="D3" s="13" t="s">
        <v>180</v>
      </c>
      <c r="E3" s="13" t="s">
        <v>36</v>
      </c>
      <c r="F3" s="13" t="s">
        <v>97</v>
      </c>
      <c r="G3" s="13" t="s">
        <v>98</v>
      </c>
      <c r="H3" s="13"/>
      <c r="I3" s="14" t="s">
        <v>298</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299</v>
      </c>
      <c r="AA3" s="13" t="s">
        <v>118</v>
      </c>
      <c r="AB3" s="14" t="s">
        <v>300</v>
      </c>
    </row>
    <row r="4" customFormat="false" ht="48" hidden="false" customHeight="true" outlineLevel="0" collapsed="false">
      <c r="A4" s="13" t="n">
        <v>3</v>
      </c>
      <c r="B4" s="13" t="s">
        <v>51</v>
      </c>
      <c r="C4" s="14" t="s">
        <v>301</v>
      </c>
      <c r="D4" s="13" t="s">
        <v>192</v>
      </c>
      <c r="E4" s="13" t="s">
        <v>37</v>
      </c>
      <c r="F4" s="13" t="s">
        <v>127</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302</v>
      </c>
      <c r="AA4" s="13" t="s">
        <v>118</v>
      </c>
      <c r="AB4" s="14"/>
    </row>
    <row r="5" customFormat="false" ht="48" hidden="false" customHeight="true" outlineLevel="0" collapsed="false">
      <c r="A5" s="13" t="n">
        <v>4</v>
      </c>
      <c r="B5" s="13" t="s">
        <v>51</v>
      </c>
      <c r="C5" s="14" t="s">
        <v>303</v>
      </c>
      <c r="D5" s="13" t="s">
        <v>304</v>
      </c>
      <c r="E5" s="13" t="s">
        <v>37</v>
      </c>
      <c r="F5" s="13" t="s">
        <v>131</v>
      </c>
      <c r="G5" s="13" t="s">
        <v>134</v>
      </c>
      <c r="H5" s="13"/>
      <c r="I5" s="14" t="s">
        <v>305</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51</v>
      </c>
      <c r="C6" s="14" t="s">
        <v>306</v>
      </c>
      <c r="D6" s="13" t="s">
        <v>307</v>
      </c>
      <c r="E6" s="13" t="s">
        <v>37</v>
      </c>
      <c r="F6" s="13" t="s">
        <v>131</v>
      </c>
      <c r="G6" s="13" t="s">
        <v>134</v>
      </c>
      <c r="H6" s="13"/>
      <c r="I6" s="14" t="s">
        <v>308</v>
      </c>
      <c r="J6" s="13" t="s">
        <v>309</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51</v>
      </c>
      <c r="C7" s="14" t="s">
        <v>310</v>
      </c>
      <c r="D7" s="13" t="s">
        <v>311</v>
      </c>
      <c r="E7" s="13" t="s">
        <v>37</v>
      </c>
      <c r="F7" s="13" t="s">
        <v>131</v>
      </c>
      <c r="G7" s="13" t="s">
        <v>134</v>
      </c>
      <c r="H7" s="13"/>
      <c r="I7" s="14" t="s">
        <v>308</v>
      </c>
      <c r="J7" s="13" t="s">
        <v>309</v>
      </c>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51</v>
      </c>
      <c r="C8" s="14" t="s">
        <v>312</v>
      </c>
      <c r="D8" s="13" t="s">
        <v>313</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314</v>
      </c>
      <c r="AA8" s="13" t="s">
        <v>118</v>
      </c>
      <c r="AB8" s="14"/>
    </row>
    <row r="9" customFormat="false" ht="48" hidden="false" customHeight="true" outlineLevel="0" collapsed="false">
      <c r="A9" s="13" t="n">
        <v>8</v>
      </c>
      <c r="B9" s="13" t="s">
        <v>51</v>
      </c>
      <c r="C9" s="14" t="s">
        <v>315</v>
      </c>
      <c r="D9" s="13" t="s">
        <v>316</v>
      </c>
      <c r="E9" s="13" t="s">
        <v>37</v>
      </c>
      <c r="F9" s="13" t="s">
        <v>131</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317</v>
      </c>
      <c r="AA9" s="13" t="s">
        <v>118</v>
      </c>
      <c r="AB9"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52</v>
      </c>
      <c r="C2" s="14" t="s">
        <v>318</v>
      </c>
      <c r="D2" s="13" t="s">
        <v>319</v>
      </c>
      <c r="E2" s="13" t="s">
        <v>36</v>
      </c>
      <c r="F2" s="13" t="s">
        <v>97</v>
      </c>
      <c r="G2" s="13" t="s">
        <v>98</v>
      </c>
      <c r="H2" s="13" t="s">
        <v>320</v>
      </c>
      <c r="I2" s="14" t="s">
        <v>321</v>
      </c>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c r="Z2" s="16" t="s">
        <v>322</v>
      </c>
      <c r="AA2" s="13" t="s">
        <v>118</v>
      </c>
      <c r="AB2" s="14" t="s">
        <v>147</v>
      </c>
    </row>
    <row r="3" customFormat="false" ht="48" hidden="false" customHeight="true" outlineLevel="0" collapsed="false">
      <c r="A3" s="13" t="n">
        <v>2</v>
      </c>
      <c r="B3" s="13" t="s">
        <v>52</v>
      </c>
      <c r="C3" s="14" t="s">
        <v>323</v>
      </c>
      <c r="D3" s="13" t="s">
        <v>324</v>
      </c>
      <c r="E3" s="13" t="s">
        <v>36</v>
      </c>
      <c r="F3" s="13" t="s">
        <v>97</v>
      </c>
      <c r="G3" s="13" t="s">
        <v>325</v>
      </c>
      <c r="H3" s="13"/>
      <c r="I3" s="14" t="s">
        <v>326</v>
      </c>
      <c r="J3" s="15"/>
      <c r="K3" s="14"/>
      <c r="L3" s="15"/>
      <c r="M3" s="13" t="str">
        <f aca="false">IF(L3="","",说明!$B$4-L3)</f>
        <v/>
      </c>
      <c r="N3" s="14"/>
      <c r="O3" s="15"/>
      <c r="P3" s="15"/>
      <c r="Q3" s="14" t="s">
        <v>327</v>
      </c>
      <c r="R3" s="13" t="str">
        <f aca="false">IF(AND(P3="",O3=""),"",IF(OR(N(P3)&gt;=说明!$B$5,N(O3)&gt;=说明!$B$6),"大型",IF(OR(N(P3)&gt;=说明!$B$7,N(O3)&gt;=说明!$B$8),"中型","小型")))</f>
        <v/>
      </c>
      <c r="S3" s="14" t="s">
        <v>328</v>
      </c>
      <c r="T3" s="13"/>
      <c r="U3" s="15"/>
      <c r="V3" s="15"/>
      <c r="W3" s="13"/>
      <c r="X3" s="14"/>
      <c r="Y3" s="14" t="s">
        <v>329</v>
      </c>
      <c r="Z3" s="16" t="s">
        <v>330</v>
      </c>
      <c r="AA3" s="13" t="s">
        <v>118</v>
      </c>
      <c r="AB3" s="14"/>
    </row>
    <row r="4" customFormat="false" ht="48" hidden="false" customHeight="true" outlineLevel="0" collapsed="false">
      <c r="A4" s="13" t="n">
        <v>3</v>
      </c>
      <c r="B4" s="13" t="s">
        <v>52</v>
      </c>
      <c r="C4" s="14" t="s">
        <v>331</v>
      </c>
      <c r="D4" s="13" t="s">
        <v>180</v>
      </c>
      <c r="E4" s="13" t="s">
        <v>36</v>
      </c>
      <c r="F4" s="13" t="s">
        <v>97</v>
      </c>
      <c r="G4" s="13" t="s">
        <v>98</v>
      </c>
      <c r="H4" s="13"/>
      <c r="I4" s="14" t="s">
        <v>332</v>
      </c>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333</v>
      </c>
      <c r="AA4" s="13" t="s">
        <v>118</v>
      </c>
      <c r="AB4" s="14"/>
    </row>
    <row r="5" customFormat="false" ht="48" hidden="false" customHeight="true" outlineLevel="0" collapsed="false">
      <c r="A5" s="13" t="n">
        <v>4</v>
      </c>
      <c r="B5" s="13" t="s">
        <v>52</v>
      </c>
      <c r="C5" s="14" t="s">
        <v>334</v>
      </c>
      <c r="D5" s="13" t="s">
        <v>335</v>
      </c>
      <c r="E5" s="13" t="s">
        <v>36</v>
      </c>
      <c r="F5" s="13" t="s">
        <v>97</v>
      </c>
      <c r="G5" s="13" t="s">
        <v>98</v>
      </c>
      <c r="H5" s="13"/>
      <c r="I5" s="14"/>
      <c r="J5" s="15"/>
      <c r="K5" s="14"/>
      <c r="L5" s="15"/>
      <c r="M5" s="13" t="str">
        <f aca="false">IF(L5="","",说明!$B$4-L5)</f>
        <v/>
      </c>
      <c r="N5" s="14"/>
      <c r="O5" s="15"/>
      <c r="P5" s="15"/>
      <c r="Q5" s="14" t="s">
        <v>336</v>
      </c>
      <c r="R5" s="13" t="str">
        <f aca="false">IF(AND(P5="",O5=""),"",IF(OR(N(P5)&gt;=说明!$B$5,N(O5)&gt;=说明!$B$6),"大型",IF(OR(N(P5)&gt;=说明!$B$7,N(O5)&gt;=说明!$B$8),"中型","小型")))</f>
        <v/>
      </c>
      <c r="S5" s="14"/>
      <c r="T5" s="13"/>
      <c r="U5" s="15"/>
      <c r="V5" s="15"/>
      <c r="W5" s="13"/>
      <c r="X5" s="14"/>
      <c r="Y5" s="14"/>
      <c r="Z5" s="16" t="s">
        <v>337</v>
      </c>
      <c r="AA5" s="13" t="s">
        <v>118</v>
      </c>
      <c r="AB5" s="14" t="s">
        <v>338</v>
      </c>
    </row>
    <row r="6" customFormat="false" ht="48" hidden="false" customHeight="true" outlineLevel="0" collapsed="false">
      <c r="A6" s="13" t="n">
        <v>5</v>
      </c>
      <c r="B6" s="13" t="s">
        <v>52</v>
      </c>
      <c r="C6" s="14" t="s">
        <v>339</v>
      </c>
      <c r="D6" s="13" t="s">
        <v>340</v>
      </c>
      <c r="E6" s="13" t="s">
        <v>39</v>
      </c>
      <c r="F6" s="13" t="s">
        <v>142</v>
      </c>
      <c r="G6" s="13" t="s">
        <v>341</v>
      </c>
      <c r="H6" s="13"/>
      <c r="I6" s="14"/>
      <c r="J6" s="15"/>
      <c r="K6" s="14"/>
      <c r="L6" s="15"/>
      <c r="M6" s="13" t="str">
        <f aca="false">IF(L6="","",说明!$B$4-L6)</f>
        <v/>
      </c>
      <c r="N6" s="14" t="s">
        <v>342</v>
      </c>
      <c r="O6" s="15"/>
      <c r="P6" s="15"/>
      <c r="Q6" s="14"/>
      <c r="R6" s="13" t="str">
        <f aca="false">IF(AND(P6="",O6=""),"",IF(OR(N(P6)&gt;=说明!$B$5,N(O6)&gt;=说明!$B$6),"大型",IF(OR(N(P6)&gt;=说明!$B$7,N(O6)&gt;=说明!$B$8),"中型","小型")))</f>
        <v/>
      </c>
      <c r="S6" s="14"/>
      <c r="T6" s="13" t="s">
        <v>343</v>
      </c>
      <c r="U6" s="15"/>
      <c r="V6" s="15"/>
      <c r="W6" s="13"/>
      <c r="X6" s="14"/>
      <c r="Y6" s="14"/>
      <c r="Z6" s="16" t="s">
        <v>344</v>
      </c>
      <c r="AA6" s="13" t="s">
        <v>118</v>
      </c>
      <c r="AB6"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53</v>
      </c>
      <c r="C2" s="14" t="s">
        <v>345</v>
      </c>
      <c r="D2" s="13" t="s">
        <v>346</v>
      </c>
      <c r="E2" s="13" t="s">
        <v>41</v>
      </c>
      <c r="F2" s="13" t="s">
        <v>97</v>
      </c>
      <c r="G2" s="13" t="s">
        <v>98</v>
      </c>
      <c r="H2" s="13"/>
      <c r="I2" s="14" t="s">
        <v>347</v>
      </c>
      <c r="J2" s="15"/>
      <c r="K2" s="14"/>
      <c r="L2" s="13" t="n">
        <v>2013</v>
      </c>
      <c r="M2" s="13" t="n">
        <f aca="false">IF(L2="","",说明!$B$4-L2)</f>
        <v>13</v>
      </c>
      <c r="N2" s="14" t="s">
        <v>348</v>
      </c>
      <c r="O2" s="15"/>
      <c r="P2" s="15"/>
      <c r="Q2" s="14"/>
      <c r="R2" s="13" t="str">
        <f aca="false">IF(AND(P2="",O2=""),"",IF(OR(N(P2)&gt;=说明!$B$5,N(O2)&gt;=说明!$B$6),"大型",IF(OR(N(P2)&gt;=说明!$B$7,N(O2)&gt;=说明!$B$8),"中型","小型")))</f>
        <v/>
      </c>
      <c r="S2" s="14" t="s">
        <v>349</v>
      </c>
      <c r="T2" s="13"/>
      <c r="U2" s="15"/>
      <c r="V2" s="15"/>
      <c r="W2" s="13"/>
      <c r="X2" s="14"/>
      <c r="Y2" s="14" t="s">
        <v>350</v>
      </c>
      <c r="Z2" s="16" t="s">
        <v>351</v>
      </c>
      <c r="AA2" s="13" t="s">
        <v>109</v>
      </c>
      <c r="AB2" s="14"/>
    </row>
    <row r="3" customFormat="false" ht="48" hidden="false" customHeight="true" outlineLevel="0" collapsed="false">
      <c r="A3" s="13" t="n">
        <v>2</v>
      </c>
      <c r="B3" s="13" t="s">
        <v>53</v>
      </c>
      <c r="C3" s="14" t="s">
        <v>352</v>
      </c>
      <c r="D3" s="13" t="s">
        <v>180</v>
      </c>
      <c r="E3" s="13" t="s">
        <v>36</v>
      </c>
      <c r="F3" s="13" t="s">
        <v>97</v>
      </c>
      <c r="G3" s="13" t="s">
        <v>98</v>
      </c>
      <c r="H3" s="13"/>
      <c r="I3" s="14" t="s">
        <v>353</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299</v>
      </c>
      <c r="AA3" s="13" t="s">
        <v>118</v>
      </c>
      <c r="AB3" s="14" t="s">
        <v>354</v>
      </c>
    </row>
    <row r="4" customFormat="false" ht="48" hidden="false" customHeight="true" outlineLevel="0" collapsed="false">
      <c r="A4" s="13" t="n">
        <v>3</v>
      </c>
      <c r="B4" s="13" t="s">
        <v>53</v>
      </c>
      <c r="C4" s="14" t="s">
        <v>355</v>
      </c>
      <c r="D4" s="13" t="s">
        <v>356</v>
      </c>
      <c r="E4" s="13" t="s">
        <v>39</v>
      </c>
      <c r="F4" s="13" t="s">
        <v>97</v>
      </c>
      <c r="G4" s="13" t="s">
        <v>98</v>
      </c>
      <c r="H4" s="13"/>
      <c r="I4" s="14" t="s">
        <v>357</v>
      </c>
      <c r="J4" s="15"/>
      <c r="K4" s="14" t="s">
        <v>358</v>
      </c>
      <c r="L4" s="13" t="n">
        <v>2026</v>
      </c>
      <c r="M4" s="13" t="n">
        <f aca="false">IF(L4="","",说明!$B$4-L4)</f>
        <v>0</v>
      </c>
      <c r="N4" s="14" t="s">
        <v>359</v>
      </c>
      <c r="O4" s="13" t="n">
        <v>1</v>
      </c>
      <c r="P4" s="13" t="n">
        <v>120</v>
      </c>
      <c r="Q4" s="14" t="s">
        <v>357</v>
      </c>
      <c r="R4" s="13" t="str">
        <f aca="false">IF(AND(P4="",O4=""),"",IF(OR(N(P4)&gt;=说明!$B$5,N(O4)&gt;=说明!$B$6),"大型",IF(OR(N(P4)&gt;=说明!$B$7,N(O4)&gt;=说明!$B$8),"中型","小型")))</f>
        <v>中型</v>
      </c>
      <c r="S4" s="14" t="s">
        <v>360</v>
      </c>
      <c r="T4" s="13"/>
      <c r="U4" s="15"/>
      <c r="V4" s="15"/>
      <c r="W4" s="13"/>
      <c r="X4" s="14"/>
      <c r="Y4" s="14"/>
      <c r="Z4" s="16" t="s">
        <v>361</v>
      </c>
      <c r="AA4" s="13" t="s">
        <v>362</v>
      </c>
      <c r="AB4" s="14"/>
    </row>
    <row r="5" customFormat="false" ht="48" hidden="false" customHeight="true" outlineLevel="0" collapsed="false">
      <c r="A5" s="13" t="n">
        <v>4</v>
      </c>
      <c r="B5" s="13" t="s">
        <v>53</v>
      </c>
      <c r="C5" s="14" t="s">
        <v>363</v>
      </c>
      <c r="D5" s="13" t="s">
        <v>364</v>
      </c>
      <c r="E5" s="13" t="s">
        <v>38</v>
      </c>
      <c r="F5" s="13" t="s">
        <v>97</v>
      </c>
      <c r="G5" s="13" t="s">
        <v>98</v>
      </c>
      <c r="H5" s="13"/>
      <c r="I5" s="14" t="s">
        <v>365</v>
      </c>
      <c r="J5" s="15"/>
      <c r="K5" s="14"/>
      <c r="L5" s="13" t="n">
        <v>2015</v>
      </c>
      <c r="M5" s="13" t="n">
        <f aca="false">IF(L5="","",说明!$B$4-L5)</f>
        <v>11</v>
      </c>
      <c r="N5" s="14" t="s">
        <v>366</v>
      </c>
      <c r="O5" s="15"/>
      <c r="P5" s="15"/>
      <c r="Q5" s="14"/>
      <c r="R5" s="13" t="str">
        <f aca="false">IF(AND(P5="",O5=""),"",IF(OR(N(P5)&gt;=说明!$B$5,N(O5)&gt;=说明!$B$6),"大型",IF(OR(N(P5)&gt;=说明!$B$7,N(O5)&gt;=说明!$B$8),"中型","小型")))</f>
        <v/>
      </c>
      <c r="S5" s="14"/>
      <c r="T5" s="13"/>
      <c r="U5" s="15"/>
      <c r="V5" s="15"/>
      <c r="W5" s="13"/>
      <c r="X5" s="14"/>
      <c r="Y5" s="14"/>
      <c r="Z5" s="16" t="s">
        <v>367</v>
      </c>
      <c r="AA5" s="13" t="s">
        <v>118</v>
      </c>
      <c r="AB5" s="14"/>
    </row>
    <row r="6" customFormat="false" ht="48" hidden="false" customHeight="true" outlineLevel="0" collapsed="false">
      <c r="A6" s="13" t="n">
        <v>5</v>
      </c>
      <c r="B6" s="13" t="s">
        <v>53</v>
      </c>
      <c r="C6" s="14" t="s">
        <v>368</v>
      </c>
      <c r="D6" s="13" t="s">
        <v>369</v>
      </c>
      <c r="E6" s="13" t="s">
        <v>37</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370</v>
      </c>
      <c r="AA6" s="13" t="s">
        <v>118</v>
      </c>
      <c r="AB6" s="14"/>
    </row>
    <row r="7" customFormat="false" ht="48" hidden="false" customHeight="true" outlineLevel="0" collapsed="false">
      <c r="A7" s="13" t="n">
        <v>6</v>
      </c>
      <c r="B7" s="13" t="s">
        <v>53</v>
      </c>
      <c r="C7" s="14" t="s">
        <v>371</v>
      </c>
      <c r="D7" s="13" t="s">
        <v>369</v>
      </c>
      <c r="E7" s="13" t="s">
        <v>37</v>
      </c>
      <c r="F7" s="13" t="s">
        <v>127</v>
      </c>
      <c r="G7" s="13" t="s">
        <v>128</v>
      </c>
      <c r="H7" s="13"/>
      <c r="I7" s="14"/>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372</v>
      </c>
      <c r="AA7" s="13" t="s">
        <v>118</v>
      </c>
      <c r="AB7" s="14"/>
    </row>
    <row r="8" customFormat="false" ht="48" hidden="false" customHeight="true" outlineLevel="0" collapsed="false">
      <c r="A8" s="13" t="n">
        <v>7</v>
      </c>
      <c r="B8" s="13" t="s">
        <v>53</v>
      </c>
      <c r="C8" s="14" t="s">
        <v>373</v>
      </c>
      <c r="D8" s="13" t="s">
        <v>374</v>
      </c>
      <c r="E8" s="13" t="s">
        <v>36</v>
      </c>
      <c r="F8" s="13" t="s">
        <v>127</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375</v>
      </c>
      <c r="AA8" s="13" t="s">
        <v>118</v>
      </c>
      <c r="AB8" s="14"/>
    </row>
    <row r="9" customFormat="false" ht="48" hidden="false" customHeight="true" outlineLevel="0" collapsed="false">
      <c r="A9" s="13" t="n">
        <v>8</v>
      </c>
      <c r="B9" s="13" t="s">
        <v>53</v>
      </c>
      <c r="C9" s="14" t="s">
        <v>376</v>
      </c>
      <c r="D9" s="13" t="s">
        <v>377</v>
      </c>
      <c r="E9" s="13" t="s">
        <v>36</v>
      </c>
      <c r="F9" s="13" t="s">
        <v>127</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378</v>
      </c>
      <c r="AA9" s="13" t="s">
        <v>118</v>
      </c>
      <c r="AB9" s="14"/>
    </row>
    <row r="10" customFormat="false" ht="48" hidden="false" customHeight="true" outlineLevel="0" collapsed="false">
      <c r="A10" s="13" t="n">
        <v>9</v>
      </c>
      <c r="B10" s="13" t="s">
        <v>53</v>
      </c>
      <c r="C10" s="14" t="s">
        <v>379</v>
      </c>
      <c r="D10" s="13" t="s">
        <v>379</v>
      </c>
      <c r="E10" s="13" t="s">
        <v>37</v>
      </c>
      <c r="F10" s="13" t="s">
        <v>131</v>
      </c>
      <c r="G10" s="13" t="s">
        <v>128</v>
      </c>
      <c r="H10" s="13"/>
      <c r="I10" s="14"/>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380</v>
      </c>
      <c r="AA10" s="13" t="s">
        <v>118</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15" hidden="false" customHeight="false" outlineLevel="0" collapsed="false">
      <c r="C2" s="2" t="s">
        <v>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55</v>
      </c>
      <c r="C2" s="14" t="s">
        <v>381</v>
      </c>
      <c r="D2" s="13" t="s">
        <v>382</v>
      </c>
      <c r="E2" s="13" t="s">
        <v>37</v>
      </c>
      <c r="F2" s="13" t="s">
        <v>97</v>
      </c>
      <c r="G2" s="13" t="s">
        <v>98</v>
      </c>
      <c r="H2" s="13"/>
      <c r="I2" s="14"/>
      <c r="J2" s="15"/>
      <c r="K2" s="14"/>
      <c r="L2" s="13" t="n">
        <v>2017</v>
      </c>
      <c r="M2" s="13" t="n">
        <f aca="false">IF(L2="","",说明!$B$4-L2)</f>
        <v>9</v>
      </c>
      <c r="N2" s="14" t="s">
        <v>383</v>
      </c>
      <c r="O2" s="15"/>
      <c r="P2" s="15"/>
      <c r="Q2" s="14"/>
      <c r="R2" s="13" t="str">
        <f aca="false">IF(AND(P2="",O2=""),"",IF(OR(N(P2)&gt;=说明!$B$5,N(O2)&gt;=说明!$B$6),"大型",IF(OR(N(P2)&gt;=说明!$B$7,N(O2)&gt;=说明!$B$8),"中型","小型")))</f>
        <v/>
      </c>
      <c r="S2" s="14" t="s">
        <v>384</v>
      </c>
      <c r="T2" s="13"/>
      <c r="U2" s="15"/>
      <c r="V2" s="15"/>
      <c r="W2" s="13"/>
      <c r="X2" s="14"/>
      <c r="Y2" s="14" t="s">
        <v>385</v>
      </c>
      <c r="Z2" s="16" t="s">
        <v>386</v>
      </c>
      <c r="AA2" s="13" t="s">
        <v>109</v>
      </c>
      <c r="AB2" s="14"/>
    </row>
    <row r="3" customFormat="false" ht="48" hidden="false" customHeight="true" outlineLevel="0" collapsed="false">
      <c r="A3" s="13" t="n">
        <v>2</v>
      </c>
      <c r="B3" s="13" t="s">
        <v>55</v>
      </c>
      <c r="C3" s="14" t="s">
        <v>387</v>
      </c>
      <c r="D3" s="13"/>
      <c r="E3" s="13" t="s">
        <v>40</v>
      </c>
      <c r="F3" s="13" t="s">
        <v>217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388</v>
      </c>
      <c r="T3" s="13"/>
      <c r="U3" s="15"/>
      <c r="V3" s="15"/>
      <c r="W3" s="13"/>
      <c r="X3" s="14"/>
      <c r="Y3" s="14"/>
      <c r="Z3" s="16" t="s">
        <v>389</v>
      </c>
      <c r="AA3" s="13" t="s">
        <v>109</v>
      </c>
      <c r="AB3" s="14"/>
    </row>
    <row r="4" customFormat="false" ht="48" hidden="false" customHeight="true" outlineLevel="0" collapsed="false">
      <c r="A4" s="13" t="n">
        <v>3</v>
      </c>
      <c r="B4" s="13" t="s">
        <v>55</v>
      </c>
      <c r="C4" s="14" t="s">
        <v>390</v>
      </c>
      <c r="D4" s="13" t="s">
        <v>192</v>
      </c>
      <c r="E4" s="13" t="s">
        <v>37</v>
      </c>
      <c r="F4" s="13" t="s">
        <v>127</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391</v>
      </c>
      <c r="AA4" s="13" t="s">
        <v>118</v>
      </c>
      <c r="AB4" s="14"/>
    </row>
    <row r="5" customFormat="false" ht="48" hidden="false" customHeight="true" outlineLevel="0" collapsed="false">
      <c r="A5" s="13" t="n">
        <v>4</v>
      </c>
      <c r="B5" s="13" t="s">
        <v>55</v>
      </c>
      <c r="C5" s="14" t="s">
        <v>392</v>
      </c>
      <c r="D5" s="13" t="s">
        <v>392</v>
      </c>
      <c r="E5" s="13" t="s">
        <v>37</v>
      </c>
      <c r="F5" s="13" t="s">
        <v>131</v>
      </c>
      <c r="G5" s="13" t="s">
        <v>134</v>
      </c>
      <c r="H5" s="13"/>
      <c r="I5" s="14" t="s">
        <v>393</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55</v>
      </c>
      <c r="C6" s="14" t="s">
        <v>394</v>
      </c>
      <c r="D6" s="13" t="s">
        <v>394</v>
      </c>
      <c r="E6" s="13" t="s">
        <v>37</v>
      </c>
      <c r="F6" s="13" t="s">
        <v>131</v>
      </c>
      <c r="G6" s="13" t="s">
        <v>134</v>
      </c>
      <c r="H6" s="13"/>
      <c r="I6" s="14" t="s">
        <v>395</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55</v>
      </c>
      <c r="C7" s="14" t="s">
        <v>396</v>
      </c>
      <c r="D7" s="13" t="s">
        <v>396</v>
      </c>
      <c r="E7" s="13" t="s">
        <v>37</v>
      </c>
      <c r="F7" s="13" t="s">
        <v>131</v>
      </c>
      <c r="G7" s="13" t="s">
        <v>134</v>
      </c>
      <c r="H7" s="13"/>
      <c r="I7" s="14" t="s">
        <v>397</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56</v>
      </c>
      <c r="C2" s="14" t="s">
        <v>398</v>
      </c>
      <c r="D2" s="13"/>
      <c r="E2" s="13" t="s">
        <v>40</v>
      </c>
      <c r="F2" s="13" t="s">
        <v>217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399</v>
      </c>
      <c r="T2" s="13"/>
      <c r="U2" s="15"/>
      <c r="V2" s="15"/>
      <c r="W2" s="13"/>
      <c r="X2" s="14"/>
      <c r="Y2" s="14"/>
      <c r="Z2" s="16" t="s">
        <v>400</v>
      </c>
      <c r="AA2" s="13" t="s">
        <v>109</v>
      </c>
      <c r="AB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57</v>
      </c>
      <c r="C2" s="14" t="s">
        <v>401</v>
      </c>
      <c r="D2" s="13"/>
      <c r="E2" s="13" t="s">
        <v>37</v>
      </c>
      <c r="F2" s="13" t="s">
        <v>97</v>
      </c>
      <c r="G2" s="13" t="s">
        <v>98</v>
      </c>
      <c r="H2" s="13"/>
      <c r="I2" s="14" t="s">
        <v>402</v>
      </c>
      <c r="J2" s="15"/>
      <c r="K2" s="14"/>
      <c r="L2" s="13" t="n">
        <v>2009</v>
      </c>
      <c r="M2" s="13" t="n">
        <f aca="false">IF(L2="","",说明!$B$4-L2)</f>
        <v>17</v>
      </c>
      <c r="N2" s="14" t="s">
        <v>403</v>
      </c>
      <c r="O2" s="15"/>
      <c r="P2" s="15"/>
      <c r="Q2" s="14" t="s">
        <v>404</v>
      </c>
      <c r="R2" s="13" t="str">
        <f aca="false">IF(AND(P2="",O2=""),"",IF(OR(N(P2)&gt;=说明!$B$5,N(O2)&gt;=说明!$B$6),"大型",IF(OR(N(P2)&gt;=说明!$B$7,N(O2)&gt;=说明!$B$8),"中型","小型")))</f>
        <v/>
      </c>
      <c r="S2" s="14" t="s">
        <v>405</v>
      </c>
      <c r="T2" s="13" t="s">
        <v>406</v>
      </c>
      <c r="U2" s="15"/>
      <c r="V2" s="15"/>
      <c r="W2" s="13"/>
      <c r="X2" s="14" t="s">
        <v>407</v>
      </c>
      <c r="Y2" s="14" t="s">
        <v>408</v>
      </c>
      <c r="Z2" s="16" t="s">
        <v>409</v>
      </c>
      <c r="AA2" s="13" t="s">
        <v>109</v>
      </c>
      <c r="AB2" s="14"/>
    </row>
    <row r="3" customFormat="false" ht="48" hidden="false" customHeight="true" outlineLevel="0" collapsed="false">
      <c r="A3" s="13" t="n">
        <v>2</v>
      </c>
      <c r="B3" s="13" t="s">
        <v>57</v>
      </c>
      <c r="C3" s="14" t="s">
        <v>410</v>
      </c>
      <c r="D3" s="13" t="s">
        <v>411</v>
      </c>
      <c r="E3" s="13" t="s">
        <v>37</v>
      </c>
      <c r="F3" s="13" t="s">
        <v>97</v>
      </c>
      <c r="G3" s="13" t="s">
        <v>98</v>
      </c>
      <c r="H3" s="13"/>
      <c r="I3" s="14" t="s">
        <v>412</v>
      </c>
      <c r="J3" s="15"/>
      <c r="K3" s="14"/>
      <c r="L3" s="13" t="n">
        <v>2013</v>
      </c>
      <c r="M3" s="13" t="n">
        <f aca="false">IF(L3="","",说明!$B$4-L3)</f>
        <v>13</v>
      </c>
      <c r="N3" s="14" t="s">
        <v>413</v>
      </c>
      <c r="O3" s="15"/>
      <c r="P3" s="15"/>
      <c r="Q3" s="14"/>
      <c r="R3" s="13" t="str">
        <f aca="false">IF(AND(P3="",O3=""),"",IF(OR(N(P3)&gt;=说明!$B$5,N(O3)&gt;=说明!$B$6),"大型",IF(OR(N(P3)&gt;=说明!$B$7,N(O3)&gt;=说明!$B$8),"中型","小型")))</f>
        <v/>
      </c>
      <c r="S3" s="14" t="s">
        <v>414</v>
      </c>
      <c r="T3" s="13"/>
      <c r="U3" s="15"/>
      <c r="V3" s="15"/>
      <c r="W3" s="13"/>
      <c r="X3" s="14"/>
      <c r="Y3" s="14"/>
      <c r="Z3" s="16" t="s">
        <v>415</v>
      </c>
      <c r="AA3" s="13" t="s">
        <v>118</v>
      </c>
      <c r="AB3" s="14" t="s">
        <v>416</v>
      </c>
    </row>
    <row r="4" customFormat="false" ht="48" hidden="false" customHeight="true" outlineLevel="0" collapsed="false">
      <c r="A4" s="13" t="n">
        <v>3</v>
      </c>
      <c r="B4" s="13" t="s">
        <v>57</v>
      </c>
      <c r="C4" s="14" t="s">
        <v>417</v>
      </c>
      <c r="D4" s="13" t="s">
        <v>418</v>
      </c>
      <c r="E4" s="13" t="s">
        <v>36</v>
      </c>
      <c r="F4" s="13" t="s">
        <v>97</v>
      </c>
      <c r="G4" s="13" t="s">
        <v>98</v>
      </c>
      <c r="H4" s="13"/>
      <c r="I4" s="14" t="s">
        <v>419</v>
      </c>
      <c r="J4" s="15"/>
      <c r="K4" s="14"/>
      <c r="L4" s="15"/>
      <c r="M4" s="13" t="str">
        <f aca="false">IF(L4="","",说明!$B$4-L4)</f>
        <v/>
      </c>
      <c r="N4" s="14" t="s">
        <v>420</v>
      </c>
      <c r="O4" s="15"/>
      <c r="P4" s="15"/>
      <c r="Q4" s="14" t="s">
        <v>421</v>
      </c>
      <c r="R4" s="13" t="str">
        <f aca="false">IF(AND(P4="",O4=""),"",IF(OR(N(P4)&gt;=说明!$B$5,N(O4)&gt;=说明!$B$6),"大型",IF(OR(N(P4)&gt;=说明!$B$7,N(O4)&gt;=说明!$B$8),"中型","小型")))</f>
        <v/>
      </c>
      <c r="S4" s="14"/>
      <c r="T4" s="13"/>
      <c r="U4" s="15"/>
      <c r="V4" s="15"/>
      <c r="W4" s="13"/>
      <c r="X4" s="14"/>
      <c r="Y4" s="14"/>
      <c r="Z4" s="16" t="s">
        <v>322</v>
      </c>
      <c r="AA4" s="13" t="s">
        <v>109</v>
      </c>
      <c r="AB4" s="14"/>
    </row>
    <row r="5" customFormat="false" ht="48" hidden="false" customHeight="true" outlineLevel="0" collapsed="false">
      <c r="A5" s="13" t="n">
        <v>4</v>
      </c>
      <c r="B5" s="13" t="s">
        <v>57</v>
      </c>
      <c r="C5" s="14" t="s">
        <v>422</v>
      </c>
      <c r="D5" s="13" t="s">
        <v>422</v>
      </c>
      <c r="E5" s="13" t="s">
        <v>36</v>
      </c>
      <c r="F5" s="13" t="s">
        <v>127</v>
      </c>
      <c r="G5" s="13" t="s">
        <v>134</v>
      </c>
      <c r="H5" s="13"/>
      <c r="I5" s="14" t="s">
        <v>423</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57</v>
      </c>
      <c r="C6" s="14" t="s">
        <v>424</v>
      </c>
      <c r="D6" s="13" t="s">
        <v>424</v>
      </c>
      <c r="E6" s="13" t="s">
        <v>37</v>
      </c>
      <c r="F6" s="13" t="s">
        <v>131</v>
      </c>
      <c r="G6" s="13" t="s">
        <v>134</v>
      </c>
      <c r="H6" s="13"/>
      <c r="I6" s="14" t="s">
        <v>425</v>
      </c>
      <c r="J6" s="13" t="s">
        <v>426</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57</v>
      </c>
      <c r="C7" s="14" t="s">
        <v>427</v>
      </c>
      <c r="D7" s="13" t="s">
        <v>427</v>
      </c>
      <c r="E7" s="13" t="s">
        <v>37</v>
      </c>
      <c r="F7" s="13" t="s">
        <v>131</v>
      </c>
      <c r="G7" s="13" t="s">
        <v>134</v>
      </c>
      <c r="H7" s="13"/>
      <c r="I7" s="14" t="s">
        <v>428</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58</v>
      </c>
      <c r="C2" s="14" t="s">
        <v>429</v>
      </c>
      <c r="D2" s="13"/>
      <c r="E2" s="13" t="s">
        <v>41</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430</v>
      </c>
      <c r="T2" s="13"/>
      <c r="U2" s="15"/>
      <c r="V2" s="15"/>
      <c r="W2" s="13"/>
      <c r="X2" s="14"/>
      <c r="Y2" s="14"/>
      <c r="Z2" s="16" t="s">
        <v>431</v>
      </c>
      <c r="AA2" s="13" t="s">
        <v>118</v>
      </c>
      <c r="AB2" s="14" t="s">
        <v>432</v>
      </c>
    </row>
    <row r="3" customFormat="false" ht="48" hidden="false" customHeight="true" outlineLevel="0" collapsed="false">
      <c r="A3" s="13" t="n">
        <v>2</v>
      </c>
      <c r="B3" s="13" t="s">
        <v>58</v>
      </c>
      <c r="C3" s="14" t="s">
        <v>433</v>
      </c>
      <c r="D3" s="13" t="s">
        <v>434</v>
      </c>
      <c r="E3" s="13" t="s">
        <v>40</v>
      </c>
      <c r="F3" s="13" t="s">
        <v>217</v>
      </c>
      <c r="G3" s="13" t="s">
        <v>170</v>
      </c>
      <c r="H3" s="13"/>
      <c r="I3" s="14" t="s">
        <v>435</v>
      </c>
      <c r="J3" s="15"/>
      <c r="K3" s="14"/>
      <c r="L3" s="15"/>
      <c r="M3" s="13" t="str">
        <f aca="false">IF(L3="","",说明!$B$4-L3)</f>
        <v/>
      </c>
      <c r="N3" s="14" t="s">
        <v>436</v>
      </c>
      <c r="O3" s="13" t="n">
        <v>16</v>
      </c>
      <c r="P3" s="15"/>
      <c r="Q3" s="14" t="s">
        <v>437</v>
      </c>
      <c r="R3" s="13" t="str">
        <f aca="false">IF(AND(P3="",O3=""),"",IF(OR(N(P3)&gt;=说明!$B$5,N(O3)&gt;=说明!$B$6),"大型",IF(OR(N(P3)&gt;=说明!$B$7,N(O3)&gt;=说明!$B$8),"中型","小型")))</f>
        <v>中型</v>
      </c>
      <c r="S3" s="14" t="s">
        <v>438</v>
      </c>
      <c r="T3" s="13" t="s">
        <v>439</v>
      </c>
      <c r="U3" s="15"/>
      <c r="V3" s="15"/>
      <c r="W3" s="13"/>
      <c r="X3" s="14"/>
      <c r="Y3" s="14" t="s">
        <v>440</v>
      </c>
      <c r="Z3" s="16" t="s">
        <v>441</v>
      </c>
      <c r="AA3" s="13" t="s">
        <v>362</v>
      </c>
      <c r="AB3" s="14" t="s">
        <v>442</v>
      </c>
    </row>
    <row r="4" customFormat="false" ht="48" hidden="false" customHeight="true" outlineLevel="0" collapsed="false">
      <c r="A4" s="13" t="n">
        <v>3</v>
      </c>
      <c r="B4" s="13" t="s">
        <v>58</v>
      </c>
      <c r="C4" s="14" t="s">
        <v>443</v>
      </c>
      <c r="D4" s="13"/>
      <c r="E4" s="13" t="s">
        <v>40</v>
      </c>
      <c r="F4" s="13" t="s">
        <v>217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444</v>
      </c>
      <c r="T4" s="13"/>
      <c r="U4" s="15"/>
      <c r="V4" s="15"/>
      <c r="W4" s="13"/>
      <c r="X4" s="14"/>
      <c r="Y4" s="14"/>
      <c r="Z4" s="16" t="s">
        <v>445</v>
      </c>
      <c r="AA4" s="13" t="s">
        <v>118</v>
      </c>
      <c r="AB4" s="14"/>
    </row>
    <row r="5" customFormat="false" ht="48" hidden="false" customHeight="true" outlineLevel="0" collapsed="false">
      <c r="A5" s="13" t="n">
        <v>4</v>
      </c>
      <c r="B5" s="13" t="s">
        <v>58</v>
      </c>
      <c r="C5" s="14" t="s">
        <v>446</v>
      </c>
      <c r="D5" s="13" t="s">
        <v>446</v>
      </c>
      <c r="E5" s="13" t="s">
        <v>37</v>
      </c>
      <c r="F5" s="13" t="s">
        <v>131</v>
      </c>
      <c r="G5" s="13" t="s">
        <v>128</v>
      </c>
      <c r="H5" s="13"/>
      <c r="I5" s="14"/>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447</v>
      </c>
      <c r="AA5" s="13" t="s">
        <v>118</v>
      </c>
      <c r="AB5" s="14"/>
    </row>
    <row r="6" customFormat="false" ht="48" hidden="false" customHeight="true" outlineLevel="0" collapsed="false">
      <c r="A6" s="13" t="n">
        <v>5</v>
      </c>
      <c r="B6" s="13" t="s">
        <v>58</v>
      </c>
      <c r="C6" s="14" t="s">
        <v>448</v>
      </c>
      <c r="D6" s="13" t="s">
        <v>449</v>
      </c>
      <c r="E6" s="13" t="s">
        <v>37</v>
      </c>
      <c r="F6" s="13" t="s">
        <v>131</v>
      </c>
      <c r="G6" s="13" t="s">
        <v>134</v>
      </c>
      <c r="H6" s="13"/>
      <c r="I6" s="14" t="s">
        <v>450</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58</v>
      </c>
      <c r="C7" s="14" t="s">
        <v>451</v>
      </c>
      <c r="D7" s="13" t="s">
        <v>452</v>
      </c>
      <c r="E7" s="13" t="s">
        <v>42</v>
      </c>
      <c r="F7" s="13" t="s">
        <v>131</v>
      </c>
      <c r="G7" s="13" t="s">
        <v>325</v>
      </c>
      <c r="H7" s="13"/>
      <c r="I7" s="14" t="s">
        <v>453</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t="s">
        <v>454</v>
      </c>
    </row>
    <row r="8" customFormat="false" ht="48" hidden="false" customHeight="true" outlineLevel="0" collapsed="false">
      <c r="A8" s="13" t="n">
        <v>7</v>
      </c>
      <c r="B8" s="13" t="s">
        <v>58</v>
      </c>
      <c r="C8" s="14" t="s">
        <v>455</v>
      </c>
      <c r="D8" s="13" t="s">
        <v>456</v>
      </c>
      <c r="E8" s="13" t="s">
        <v>40</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457</v>
      </c>
      <c r="AA8" s="13" t="s">
        <v>118</v>
      </c>
      <c r="AB8"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59</v>
      </c>
      <c r="C2" s="14" t="s">
        <v>458</v>
      </c>
      <c r="D2" s="13"/>
      <c r="E2" s="13" t="s">
        <v>37</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t="s">
        <v>459</v>
      </c>
      <c r="Z2" s="16" t="s">
        <v>460</v>
      </c>
      <c r="AA2" s="13" t="s">
        <v>109</v>
      </c>
      <c r="AB2" s="14"/>
    </row>
    <row r="3" customFormat="false" ht="48" hidden="false" customHeight="true" outlineLevel="0" collapsed="false">
      <c r="A3" s="13" t="n">
        <v>2</v>
      </c>
      <c r="B3" s="13" t="s">
        <v>59</v>
      </c>
      <c r="C3" s="14" t="s">
        <v>461</v>
      </c>
      <c r="D3" s="13" t="s">
        <v>462</v>
      </c>
      <c r="E3" s="13" t="s">
        <v>41</v>
      </c>
      <c r="F3" s="13" t="s">
        <v>97</v>
      </c>
      <c r="G3" s="13" t="s">
        <v>98</v>
      </c>
      <c r="H3" s="13"/>
      <c r="I3" s="14" t="s">
        <v>463</v>
      </c>
      <c r="J3" s="15"/>
      <c r="K3" s="14"/>
      <c r="L3" s="15"/>
      <c r="M3" s="13" t="str">
        <f aca="false">IF(L3="","",说明!$B$4-L3)</f>
        <v/>
      </c>
      <c r="N3" s="14" t="s">
        <v>464</v>
      </c>
      <c r="O3" s="15"/>
      <c r="P3" s="15"/>
      <c r="Q3" s="14" t="s">
        <v>465</v>
      </c>
      <c r="R3" s="13" t="str">
        <f aca="false">IF(AND(P3="",O3=""),"",IF(OR(N(P3)&gt;=说明!$B$5,N(O3)&gt;=说明!$B$6),"大型",IF(OR(N(P3)&gt;=说明!$B$7,N(O3)&gt;=说明!$B$8),"中型","小型")))</f>
        <v/>
      </c>
      <c r="S3" s="14" t="s">
        <v>466</v>
      </c>
      <c r="T3" s="13"/>
      <c r="U3" s="15"/>
      <c r="V3" s="15"/>
      <c r="W3" s="13"/>
      <c r="X3" s="14"/>
      <c r="Y3" s="14" t="s">
        <v>467</v>
      </c>
      <c r="Z3" s="16" t="s">
        <v>468</v>
      </c>
      <c r="AA3" s="13" t="s">
        <v>109</v>
      </c>
      <c r="AB3" s="14" t="s">
        <v>469</v>
      </c>
    </row>
    <row r="4" customFormat="false" ht="48" hidden="false" customHeight="true" outlineLevel="0" collapsed="false">
      <c r="A4" s="13" t="n">
        <v>3</v>
      </c>
      <c r="B4" s="13" t="s">
        <v>59</v>
      </c>
      <c r="C4" s="14" t="s">
        <v>470</v>
      </c>
      <c r="D4" s="13"/>
      <c r="E4" s="13" t="s">
        <v>40</v>
      </c>
      <c r="F4" s="13" t="s">
        <v>217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471</v>
      </c>
      <c r="T4" s="13"/>
      <c r="U4" s="15"/>
      <c r="V4" s="15"/>
      <c r="W4" s="13"/>
      <c r="X4" s="14"/>
      <c r="Y4" s="14"/>
      <c r="Z4" s="16" t="s">
        <v>472</v>
      </c>
      <c r="AA4" s="13" t="s">
        <v>118</v>
      </c>
      <c r="AB4" s="14" t="s">
        <v>473</v>
      </c>
    </row>
    <row r="5" customFormat="false" ht="48" hidden="false" customHeight="true" outlineLevel="0" collapsed="false">
      <c r="A5" s="13" t="n">
        <v>4</v>
      </c>
      <c r="B5" s="13" t="s">
        <v>59</v>
      </c>
      <c r="C5" s="14" t="s">
        <v>474</v>
      </c>
      <c r="D5" s="13" t="s">
        <v>255</v>
      </c>
      <c r="E5" s="13" t="s">
        <v>36</v>
      </c>
      <c r="F5" s="13" t="s">
        <v>127</v>
      </c>
      <c r="G5" s="13" t="s">
        <v>134</v>
      </c>
      <c r="H5" s="13"/>
      <c r="I5" s="14" t="s">
        <v>475</v>
      </c>
      <c r="J5" s="15"/>
      <c r="K5" s="14"/>
      <c r="L5" s="15"/>
      <c r="M5" s="13" t="str">
        <f aca="false">IF(L5="","",说明!$B$4-L5)</f>
        <v/>
      </c>
      <c r="N5" s="14"/>
      <c r="O5" s="15"/>
      <c r="P5" s="15"/>
      <c r="Q5" s="14"/>
      <c r="R5" s="13" t="str">
        <f aca="false">IF(AND(P5="",O5=""),"",IF(OR(N(P5)&gt;=说明!$B$5,N(O5)&gt;=说明!$B$6),"大型",IF(OR(N(P5)&gt;=说明!$B$7,N(O5)&gt;=说明!$B$8),"中型","小型")))</f>
        <v/>
      </c>
      <c r="S5" s="14"/>
      <c r="T5" s="13"/>
      <c r="U5" s="15"/>
      <c r="V5" s="15"/>
      <c r="W5" s="13"/>
      <c r="X5" s="14"/>
      <c r="Y5" s="14"/>
      <c r="Z5" s="16" t="s">
        <v>137</v>
      </c>
      <c r="AA5" s="13" t="s">
        <v>109</v>
      </c>
      <c r="AB5" s="14"/>
    </row>
    <row r="6" customFormat="false" ht="48" hidden="false" customHeight="true" outlineLevel="0" collapsed="false">
      <c r="A6" s="13" t="n">
        <v>5</v>
      </c>
      <c r="B6" s="13" t="s">
        <v>59</v>
      </c>
      <c r="C6" s="14" t="s">
        <v>476</v>
      </c>
      <c r="D6" s="13" t="s">
        <v>476</v>
      </c>
      <c r="E6" s="13" t="s">
        <v>37</v>
      </c>
      <c r="F6" s="13" t="s">
        <v>131</v>
      </c>
      <c r="G6" s="13" t="s">
        <v>134</v>
      </c>
      <c r="H6" s="13"/>
      <c r="I6" s="14" t="s">
        <v>477</v>
      </c>
      <c r="J6" s="13" t="s">
        <v>478</v>
      </c>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row>
    <row r="7" customFormat="false" ht="48" hidden="false" customHeight="true" outlineLevel="0" collapsed="false">
      <c r="A7" s="13" t="n">
        <v>6</v>
      </c>
      <c r="B7" s="13" t="s">
        <v>59</v>
      </c>
      <c r="C7" s="14" t="s">
        <v>479</v>
      </c>
      <c r="D7" s="13" t="s">
        <v>140</v>
      </c>
      <c r="E7" s="13" t="s">
        <v>37</v>
      </c>
      <c r="F7" s="13" t="s">
        <v>131</v>
      </c>
      <c r="G7" s="13" t="s">
        <v>134</v>
      </c>
      <c r="H7" s="13"/>
      <c r="I7" s="14" t="s">
        <v>480</v>
      </c>
      <c r="J7" s="15"/>
      <c r="K7" s="14"/>
      <c r="L7" s="15"/>
      <c r="M7" s="13" t="str">
        <f aca="false">IF(L7="","",说明!$B$4-L7)</f>
        <v/>
      </c>
      <c r="N7" s="14"/>
      <c r="O7" s="15"/>
      <c r="P7" s="15"/>
      <c r="Q7" s="14" t="s">
        <v>143</v>
      </c>
      <c r="R7" s="13" t="str">
        <f aca="false">IF(AND(P7="",O7=""),"",IF(OR(N(P7)&gt;=说明!$B$5,N(O7)&gt;=说明!$B$6),"大型",IF(OR(N(P7)&gt;=说明!$B$7,N(O7)&gt;=说明!$B$8),"中型","小型")))</f>
        <v/>
      </c>
      <c r="S7" s="14"/>
      <c r="T7" s="13"/>
      <c r="U7" s="15"/>
      <c r="V7" s="15"/>
      <c r="W7" s="13"/>
      <c r="X7" s="14"/>
      <c r="Y7" s="14"/>
      <c r="Z7" s="16" t="s">
        <v>481</v>
      </c>
      <c r="AA7" s="13" t="s">
        <v>109</v>
      </c>
      <c r="AB7" s="14" t="s">
        <v>147</v>
      </c>
    </row>
    <row r="8" customFormat="false" ht="48" hidden="false" customHeight="true" outlineLevel="0" collapsed="false">
      <c r="A8" s="13" t="n">
        <v>7</v>
      </c>
      <c r="B8" s="13" t="s">
        <v>59</v>
      </c>
      <c r="C8" s="14" t="s">
        <v>482</v>
      </c>
      <c r="D8" s="13" t="s">
        <v>483</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484</v>
      </c>
      <c r="AA8" s="13" t="s">
        <v>118</v>
      </c>
      <c r="AB8" s="14"/>
    </row>
    <row r="9" customFormat="false" ht="48" hidden="false" customHeight="true" outlineLevel="0" collapsed="false">
      <c r="A9" s="13" t="n">
        <v>8</v>
      </c>
      <c r="B9" s="13" t="s">
        <v>59</v>
      </c>
      <c r="C9" s="14" t="s">
        <v>485</v>
      </c>
      <c r="D9" s="13" t="s">
        <v>486</v>
      </c>
      <c r="E9" s="13" t="s">
        <v>37</v>
      </c>
      <c r="F9" s="13" t="s">
        <v>131</v>
      </c>
      <c r="G9" s="13" t="s">
        <v>128</v>
      </c>
      <c r="H9" s="13"/>
      <c r="I9" s="14"/>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487</v>
      </c>
      <c r="AA9" s="13" t="s">
        <v>118</v>
      </c>
      <c r="AB9" s="14"/>
    </row>
    <row r="10" customFormat="false" ht="48" hidden="false" customHeight="true" outlineLevel="0" collapsed="false">
      <c r="A10" s="13" t="n">
        <v>9</v>
      </c>
      <c r="B10" s="13" t="s">
        <v>59</v>
      </c>
      <c r="C10" s="14" t="s">
        <v>488</v>
      </c>
      <c r="D10" s="13" t="s">
        <v>489</v>
      </c>
      <c r="E10" s="13" t="s">
        <v>37</v>
      </c>
      <c r="F10" s="13" t="s">
        <v>131</v>
      </c>
      <c r="G10" s="13" t="s">
        <v>128</v>
      </c>
      <c r="H10" s="13"/>
      <c r="I10" s="14"/>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490</v>
      </c>
      <c r="AA10" s="13" t="s">
        <v>118</v>
      </c>
      <c r="AB10" s="14"/>
    </row>
    <row r="11" customFormat="false" ht="48" hidden="false" customHeight="true" outlineLevel="0" collapsed="false">
      <c r="A11" s="13" t="n">
        <v>10</v>
      </c>
      <c r="B11" s="13" t="s">
        <v>59</v>
      </c>
      <c r="C11" s="14" t="s">
        <v>491</v>
      </c>
      <c r="D11" s="13" t="s">
        <v>491</v>
      </c>
      <c r="E11" s="13" t="s">
        <v>37</v>
      </c>
      <c r="F11" s="13" t="s">
        <v>131</v>
      </c>
      <c r="G11" s="13" t="s">
        <v>134</v>
      </c>
      <c r="H11" s="13"/>
      <c r="I11" s="14" t="s">
        <v>492</v>
      </c>
      <c r="J11" s="15"/>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c r="Y11" s="14"/>
      <c r="Z11" s="16" t="s">
        <v>137</v>
      </c>
      <c r="AA11" s="13" t="s">
        <v>109</v>
      </c>
      <c r="AB11" s="14"/>
    </row>
    <row r="12" customFormat="false" ht="48" hidden="false" customHeight="true" outlineLevel="0" collapsed="false">
      <c r="A12" s="13" t="n">
        <v>11</v>
      </c>
      <c r="B12" s="13" t="s">
        <v>59</v>
      </c>
      <c r="C12" s="14" t="s">
        <v>493</v>
      </c>
      <c r="D12" s="13" t="s">
        <v>335</v>
      </c>
      <c r="E12" s="13" t="s">
        <v>42</v>
      </c>
      <c r="F12" s="13" t="s">
        <v>142</v>
      </c>
      <c r="G12" s="13" t="s">
        <v>98</v>
      </c>
      <c r="H12" s="13"/>
      <c r="I12" s="14" t="s">
        <v>494</v>
      </c>
      <c r="J12" s="15"/>
      <c r="K12" s="14"/>
      <c r="L12" s="15"/>
      <c r="M12" s="13" t="str">
        <f aca="false">IF(L12="","",说明!$B$4-L12)</f>
        <v/>
      </c>
      <c r="N12" s="14"/>
      <c r="O12" s="15"/>
      <c r="P12" s="15"/>
      <c r="Q12" s="14"/>
      <c r="R12" s="13" t="str">
        <f aca="false">IF(AND(P12="",O12=""),"",IF(OR(N(P12)&gt;=说明!$B$5,N(O12)&gt;=说明!$B$6),"大型",IF(OR(N(P12)&gt;=说明!$B$7,N(O12)&gt;=说明!$B$8),"中型","小型")))</f>
        <v/>
      </c>
      <c r="S12" s="14"/>
      <c r="T12" s="13"/>
      <c r="U12" s="15"/>
      <c r="V12" s="15"/>
      <c r="W12" s="13"/>
      <c r="X12" s="14"/>
      <c r="Y12" s="14"/>
      <c r="Z12" s="16" t="s">
        <v>495</v>
      </c>
      <c r="AA12" s="13" t="s">
        <v>118</v>
      </c>
      <c r="AB12" s="14"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60</v>
      </c>
      <c r="C2" s="14" t="s">
        <v>497</v>
      </c>
      <c r="D2" s="13" t="s">
        <v>498</v>
      </c>
      <c r="E2" s="13" t="s">
        <v>37</v>
      </c>
      <c r="F2" s="13" t="s">
        <v>97</v>
      </c>
      <c r="G2" s="13" t="s">
        <v>98</v>
      </c>
      <c r="H2" s="13"/>
      <c r="I2" s="14" t="s">
        <v>499</v>
      </c>
      <c r="J2" s="15"/>
      <c r="K2" s="14"/>
      <c r="L2" s="15"/>
      <c r="M2" s="13" t="str">
        <f aca="false">IF(L2="","",说明!$B$4-L2)</f>
        <v/>
      </c>
      <c r="N2" s="14"/>
      <c r="O2" s="15"/>
      <c r="P2" s="15"/>
      <c r="Q2" s="14" t="s">
        <v>500</v>
      </c>
      <c r="R2" s="13" t="str">
        <f aca="false">IF(AND(P2="",O2=""),"",IF(OR(N(P2)&gt;=说明!$B$5,N(O2)&gt;=说明!$B$6),"大型",IF(OR(N(P2)&gt;=说明!$B$7,N(O2)&gt;=说明!$B$8),"中型","小型")))</f>
        <v/>
      </c>
      <c r="S2" s="14" t="s">
        <v>501</v>
      </c>
      <c r="T2" s="13"/>
      <c r="U2" s="15"/>
      <c r="V2" s="15"/>
      <c r="W2" s="13"/>
      <c r="X2" s="14"/>
      <c r="Y2" s="14"/>
      <c r="Z2" s="16" t="s">
        <v>502</v>
      </c>
      <c r="AA2" s="13" t="s">
        <v>109</v>
      </c>
      <c r="AB2" s="14"/>
    </row>
    <row r="3" customFormat="false" ht="48" hidden="false" customHeight="true" outlineLevel="0" collapsed="false">
      <c r="A3" s="13" t="n">
        <v>2</v>
      </c>
      <c r="B3" s="13" t="s">
        <v>60</v>
      </c>
      <c r="C3" s="14" t="s">
        <v>503</v>
      </c>
      <c r="D3" s="13"/>
      <c r="E3" s="13" t="s">
        <v>41</v>
      </c>
      <c r="F3" s="13" t="s">
        <v>97</v>
      </c>
      <c r="G3" s="13" t="s">
        <v>98</v>
      </c>
      <c r="H3" s="13"/>
      <c r="I3" s="14" t="s">
        <v>504</v>
      </c>
      <c r="J3" s="15"/>
      <c r="K3" s="14"/>
      <c r="L3" s="15"/>
      <c r="M3" s="13" t="str">
        <f aca="false">IF(L3="","",说明!$B$4-L3)</f>
        <v/>
      </c>
      <c r="N3" s="14"/>
      <c r="O3" s="15"/>
      <c r="P3" s="15"/>
      <c r="Q3" s="14"/>
      <c r="R3" s="13" t="str">
        <f aca="false">IF(AND(P3="",O3=""),"",IF(OR(N(P3)&gt;=说明!$B$5,N(O3)&gt;=说明!$B$6),"大型",IF(OR(N(P3)&gt;=说明!$B$7,N(O3)&gt;=说明!$B$8),"中型","小型")))</f>
        <v/>
      </c>
      <c r="S3" s="14" t="s">
        <v>505</v>
      </c>
      <c r="T3" s="13"/>
      <c r="U3" s="15"/>
      <c r="V3" s="15"/>
      <c r="W3" s="13"/>
      <c r="X3" s="14" t="s">
        <v>506</v>
      </c>
      <c r="Y3" s="14" t="s">
        <v>507</v>
      </c>
      <c r="Z3" s="16" t="s">
        <v>508</v>
      </c>
      <c r="AA3" s="13" t="s">
        <v>118</v>
      </c>
      <c r="AB3" s="14" t="s">
        <v>509</v>
      </c>
    </row>
    <row r="4" customFormat="false" ht="48" hidden="false" customHeight="true" outlineLevel="0" collapsed="false">
      <c r="A4" s="13" t="n">
        <v>3</v>
      </c>
      <c r="B4" s="13" t="s">
        <v>60</v>
      </c>
      <c r="C4" s="14" t="s">
        <v>510</v>
      </c>
      <c r="D4" s="13" t="s">
        <v>511</v>
      </c>
      <c r="E4" s="13" t="s">
        <v>36</v>
      </c>
      <c r="F4" s="13" t="s">
        <v>97</v>
      </c>
      <c r="G4" s="13" t="s">
        <v>98</v>
      </c>
      <c r="H4" s="13"/>
      <c r="I4" s="14" t="s">
        <v>512</v>
      </c>
      <c r="J4" s="15"/>
      <c r="K4" s="14"/>
      <c r="L4" s="15"/>
      <c r="M4" s="13" t="str">
        <f aca="false">IF(L4="","",说明!$B$4-L4)</f>
        <v/>
      </c>
      <c r="N4" s="14"/>
      <c r="O4" s="15"/>
      <c r="P4" s="15"/>
      <c r="Q4" s="14" t="s">
        <v>513</v>
      </c>
      <c r="R4" s="13" t="str">
        <f aca="false">IF(AND(P4="",O4=""),"",IF(OR(N(P4)&gt;=说明!$B$5,N(O4)&gt;=说明!$B$6),"大型",IF(OR(N(P4)&gt;=说明!$B$7,N(O4)&gt;=说明!$B$8),"中型","小型")))</f>
        <v/>
      </c>
      <c r="S4" s="14" t="s">
        <v>514</v>
      </c>
      <c r="T4" s="13"/>
      <c r="U4" s="15"/>
      <c r="V4" s="15"/>
      <c r="W4" s="13"/>
      <c r="X4" s="14"/>
      <c r="Y4" s="14" t="s">
        <v>515</v>
      </c>
      <c r="Z4" s="16" t="s">
        <v>516</v>
      </c>
      <c r="AA4" s="13" t="s">
        <v>118</v>
      </c>
      <c r="AB4" s="14" t="s">
        <v>517</v>
      </c>
    </row>
    <row r="5" customFormat="false" ht="48" hidden="false" customHeight="true" outlineLevel="0" collapsed="false">
      <c r="A5" s="13" t="n">
        <v>4</v>
      </c>
      <c r="B5" s="13" t="s">
        <v>60</v>
      </c>
      <c r="C5" s="14" t="s">
        <v>518</v>
      </c>
      <c r="D5" s="13"/>
      <c r="E5" s="13" t="s">
        <v>40</v>
      </c>
      <c r="F5" s="13" t="s">
        <v>217</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519</v>
      </c>
      <c r="T5" s="13"/>
      <c r="U5" s="15"/>
      <c r="V5" s="15"/>
      <c r="W5" s="13"/>
      <c r="X5" s="14"/>
      <c r="Y5" s="14" t="s">
        <v>520</v>
      </c>
      <c r="Z5" s="16" t="s">
        <v>521</v>
      </c>
      <c r="AA5" s="13" t="s">
        <v>109</v>
      </c>
      <c r="AB5" s="14"/>
    </row>
    <row r="6" customFormat="false" ht="48" hidden="false" customHeight="true" outlineLevel="0" collapsed="false">
      <c r="A6" s="13" t="n">
        <v>5</v>
      </c>
      <c r="B6" s="13" t="s">
        <v>60</v>
      </c>
      <c r="C6" s="14" t="s">
        <v>522</v>
      </c>
      <c r="D6" s="13" t="s">
        <v>522</v>
      </c>
      <c r="E6" s="13" t="s">
        <v>36</v>
      </c>
      <c r="F6" s="13" t="s">
        <v>127</v>
      </c>
      <c r="G6" s="13" t="s">
        <v>128</v>
      </c>
      <c r="H6" s="13"/>
      <c r="I6" s="14"/>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523</v>
      </c>
      <c r="AA6" s="13" t="s">
        <v>118</v>
      </c>
      <c r="AB6" s="14"/>
    </row>
    <row r="7" customFormat="false" ht="48" hidden="false" customHeight="true" outlineLevel="0" collapsed="false">
      <c r="A7" s="13" t="n">
        <v>6</v>
      </c>
      <c r="B7" s="13" t="s">
        <v>60</v>
      </c>
      <c r="C7" s="14" t="s">
        <v>524</v>
      </c>
      <c r="D7" s="13" t="s">
        <v>524</v>
      </c>
      <c r="E7" s="13" t="s">
        <v>37</v>
      </c>
      <c r="F7" s="13" t="s">
        <v>131</v>
      </c>
      <c r="G7" s="13" t="s">
        <v>134</v>
      </c>
      <c r="H7" s="13"/>
      <c r="I7" s="14" t="s">
        <v>525</v>
      </c>
      <c r="J7" s="15"/>
      <c r="K7" s="14"/>
      <c r="L7" s="15"/>
      <c r="M7" s="13" t="str">
        <f aca="false">IF(L7="","",说明!$B$4-L7)</f>
        <v/>
      </c>
      <c r="N7" s="14"/>
      <c r="O7" s="15"/>
      <c r="P7" s="15"/>
      <c r="Q7" s="14"/>
      <c r="R7" s="13" t="str">
        <f aca="false">IF(AND(P7="",O7=""),"",IF(OR(N(P7)&gt;=说明!$B$5,N(O7)&gt;=说明!$B$6),"大型",IF(OR(N(P7)&gt;=说明!$B$7,N(O7)&gt;=说明!$B$8),"中型","小型")))</f>
        <v/>
      </c>
      <c r="S7" s="14"/>
      <c r="T7" s="13"/>
      <c r="U7" s="15"/>
      <c r="V7" s="15"/>
      <c r="W7" s="13"/>
      <c r="X7" s="14"/>
      <c r="Y7" s="14"/>
      <c r="Z7" s="16" t="s">
        <v>137</v>
      </c>
      <c r="AA7" s="13" t="s">
        <v>109</v>
      </c>
      <c r="AB7" s="14"/>
    </row>
    <row r="8" customFormat="false" ht="48" hidden="false" customHeight="true" outlineLevel="0" collapsed="false">
      <c r="A8" s="13" t="n">
        <v>7</v>
      </c>
      <c r="B8" s="13" t="s">
        <v>60</v>
      </c>
      <c r="C8" s="14" t="s">
        <v>526</v>
      </c>
      <c r="D8" s="13" t="s">
        <v>527</v>
      </c>
      <c r="E8" s="13" t="s">
        <v>37</v>
      </c>
      <c r="F8" s="13" t="s">
        <v>131</v>
      </c>
      <c r="G8" s="13" t="s">
        <v>128</v>
      </c>
      <c r="H8" s="13"/>
      <c r="I8" s="14"/>
      <c r="J8" s="15"/>
      <c r="K8" s="14"/>
      <c r="L8" s="15"/>
      <c r="M8" s="13" t="str">
        <f aca="false">IF(L8="","",说明!$B$4-L8)</f>
        <v/>
      </c>
      <c r="N8" s="14"/>
      <c r="O8" s="15"/>
      <c r="P8" s="15"/>
      <c r="Q8" s="14"/>
      <c r="R8" s="13" t="str">
        <f aca="false">IF(AND(P8="",O8=""),"",IF(OR(N(P8)&gt;=说明!$B$5,N(O8)&gt;=说明!$B$6),"大型",IF(OR(N(P8)&gt;=说明!$B$7,N(O8)&gt;=说明!$B$8),"中型","小型")))</f>
        <v/>
      </c>
      <c r="S8" s="14"/>
      <c r="T8" s="13"/>
      <c r="U8" s="15"/>
      <c r="V8" s="15"/>
      <c r="W8" s="13"/>
      <c r="X8" s="14"/>
      <c r="Y8" s="14"/>
      <c r="Z8" s="16" t="s">
        <v>528</v>
      </c>
      <c r="AA8" s="13" t="s">
        <v>118</v>
      </c>
      <c r="AB8" s="14"/>
    </row>
    <row r="9" customFormat="false" ht="48" hidden="false" customHeight="true" outlineLevel="0" collapsed="false">
      <c r="A9" s="13" t="n">
        <v>8</v>
      </c>
      <c r="B9" s="13" t="s">
        <v>60</v>
      </c>
      <c r="C9" s="14" t="s">
        <v>529</v>
      </c>
      <c r="D9" s="13" t="s">
        <v>529</v>
      </c>
      <c r="E9" s="13" t="s">
        <v>36</v>
      </c>
      <c r="F9" s="13" t="s">
        <v>131</v>
      </c>
      <c r="G9" s="13" t="s">
        <v>134</v>
      </c>
      <c r="H9" s="13"/>
      <c r="I9" s="14" t="s">
        <v>530</v>
      </c>
      <c r="J9" s="15"/>
      <c r="K9" s="14"/>
      <c r="L9" s="15"/>
      <c r="M9" s="13" t="str">
        <f aca="false">IF(L9="","",说明!$B$4-L9)</f>
        <v/>
      </c>
      <c r="N9" s="14"/>
      <c r="O9" s="15"/>
      <c r="P9" s="15"/>
      <c r="Q9" s="14"/>
      <c r="R9" s="13" t="str">
        <f aca="false">IF(AND(P9="",O9=""),"",IF(OR(N(P9)&gt;=说明!$B$5,N(O9)&gt;=说明!$B$6),"大型",IF(OR(N(P9)&gt;=说明!$B$7,N(O9)&gt;=说明!$B$8),"中型","小型")))</f>
        <v/>
      </c>
      <c r="S9" s="14"/>
      <c r="T9" s="13"/>
      <c r="U9" s="15"/>
      <c r="V9" s="15"/>
      <c r="W9" s="13"/>
      <c r="X9" s="14"/>
      <c r="Y9" s="14"/>
      <c r="Z9" s="16" t="s">
        <v>137</v>
      </c>
      <c r="AA9" s="13" t="s">
        <v>109</v>
      </c>
      <c r="AB9" s="14"/>
    </row>
    <row r="10" customFormat="false" ht="48" hidden="false" customHeight="true" outlineLevel="0" collapsed="false">
      <c r="A10" s="13" t="n">
        <v>9</v>
      </c>
      <c r="B10" s="13" t="s">
        <v>60</v>
      </c>
      <c r="C10" s="14" t="s">
        <v>531</v>
      </c>
      <c r="D10" s="13" t="s">
        <v>531</v>
      </c>
      <c r="E10" s="13" t="s">
        <v>36</v>
      </c>
      <c r="F10" s="13" t="s">
        <v>131</v>
      </c>
      <c r="G10" s="13" t="s">
        <v>134</v>
      </c>
      <c r="H10" s="13"/>
      <c r="I10" s="14" t="s">
        <v>532</v>
      </c>
      <c r="J10" s="15"/>
      <c r="K10" s="14"/>
      <c r="L10" s="15"/>
      <c r="M10" s="13" t="str">
        <f aca="false">IF(L10="","",说明!$B$4-L10)</f>
        <v/>
      </c>
      <c r="N10" s="14"/>
      <c r="O10" s="15"/>
      <c r="P10" s="15"/>
      <c r="Q10" s="14"/>
      <c r="R10" s="13" t="str">
        <f aca="false">IF(AND(P10="",O10=""),"",IF(OR(N(P10)&gt;=说明!$B$5,N(O10)&gt;=说明!$B$6),"大型",IF(OR(N(P10)&gt;=说明!$B$7,N(O10)&gt;=说明!$B$8),"中型","小型")))</f>
        <v/>
      </c>
      <c r="S10" s="14"/>
      <c r="T10" s="13"/>
      <c r="U10" s="15"/>
      <c r="V10" s="15"/>
      <c r="W10" s="13"/>
      <c r="X10" s="14"/>
      <c r="Y10" s="14"/>
      <c r="Z10" s="16" t="s">
        <v>137</v>
      </c>
      <c r="AA10" s="13" t="s">
        <v>109</v>
      </c>
      <c r="AB1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61</v>
      </c>
      <c r="C2" s="14" t="s">
        <v>533</v>
      </c>
      <c r="D2" s="13"/>
      <c r="E2" s="13" t="s">
        <v>40</v>
      </c>
      <c r="F2" s="13" t="s">
        <v>217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534</v>
      </c>
      <c r="T2" s="13"/>
      <c r="U2" s="15"/>
      <c r="V2" s="15"/>
      <c r="W2" s="13"/>
      <c r="X2" s="14"/>
      <c r="Y2" s="14" t="s">
        <v>535</v>
      </c>
      <c r="Z2" s="16" t="s">
        <v>536</v>
      </c>
      <c r="AA2" s="13" t="s">
        <v>118</v>
      </c>
      <c r="AB2" s="14" t="s">
        <v>537</v>
      </c>
    </row>
    <row r="3" customFormat="false" ht="48" hidden="false" customHeight="true" outlineLevel="0" collapsed="false">
      <c r="A3" s="13" t="n">
        <v>2</v>
      </c>
      <c r="B3" s="13" t="s">
        <v>61</v>
      </c>
      <c r="C3" s="14" t="s">
        <v>538</v>
      </c>
      <c r="D3" s="13" t="s">
        <v>538</v>
      </c>
      <c r="E3" s="13" t="s">
        <v>36</v>
      </c>
      <c r="F3" s="13" t="s">
        <v>127</v>
      </c>
      <c r="G3" s="13" t="s">
        <v>134</v>
      </c>
      <c r="H3" s="13"/>
      <c r="I3" s="14" t="s">
        <v>539</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row r="4" customFormat="false" ht="48" hidden="false" customHeight="true" outlineLevel="0" collapsed="false">
      <c r="A4" s="13" t="n">
        <v>3</v>
      </c>
      <c r="B4" s="13" t="s">
        <v>61</v>
      </c>
      <c r="C4" s="14" t="s">
        <v>540</v>
      </c>
      <c r="D4" s="13" t="s">
        <v>540</v>
      </c>
      <c r="E4" s="13" t="s">
        <v>36</v>
      </c>
      <c r="F4" s="13" t="s">
        <v>131</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541</v>
      </c>
      <c r="AA4" s="13" t="s">
        <v>118</v>
      </c>
      <c r="AB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62</v>
      </c>
      <c r="C2" s="14" t="s">
        <v>542</v>
      </c>
      <c r="D2" s="13" t="s">
        <v>543</v>
      </c>
      <c r="E2" s="13" t="s">
        <v>41</v>
      </c>
      <c r="F2" s="13" t="s">
        <v>97</v>
      </c>
      <c r="G2" s="13" t="s">
        <v>98</v>
      </c>
      <c r="H2" s="13"/>
      <c r="I2" s="14" t="s">
        <v>544</v>
      </c>
      <c r="J2" s="15"/>
      <c r="K2" s="14"/>
      <c r="L2" s="15"/>
      <c r="M2" s="13" t="str">
        <f aca="false">IF(L2="","",说明!$B$4-L2)</f>
        <v/>
      </c>
      <c r="N2" s="14"/>
      <c r="O2" s="15"/>
      <c r="P2" s="15"/>
      <c r="Q2" s="14"/>
      <c r="R2" s="13" t="str">
        <f aca="false">IF(AND(P2="",O2=""),"",IF(OR(N(P2)&gt;=说明!$B$5,N(O2)&gt;=说明!$B$6),"大型",IF(OR(N(P2)&gt;=说明!$B$7,N(O2)&gt;=说明!$B$8),"中型","小型")))</f>
        <v/>
      </c>
      <c r="S2" s="14" t="s">
        <v>545</v>
      </c>
      <c r="T2" s="13"/>
      <c r="U2" s="15"/>
      <c r="V2" s="15"/>
      <c r="W2" s="13"/>
      <c r="X2" s="14"/>
      <c r="Y2" s="14" t="s">
        <v>546</v>
      </c>
      <c r="Z2" s="16" t="s">
        <v>547</v>
      </c>
      <c r="AA2" s="13" t="s">
        <v>109</v>
      </c>
      <c r="AB2" s="14"/>
    </row>
    <row r="3" customFormat="false" ht="48" hidden="false" customHeight="true" outlineLevel="0" collapsed="false">
      <c r="A3" s="13" t="n">
        <v>2</v>
      </c>
      <c r="B3" s="13" t="s">
        <v>62</v>
      </c>
      <c r="C3" s="14" t="s">
        <v>548</v>
      </c>
      <c r="D3" s="13"/>
      <c r="E3" s="13" t="s">
        <v>40</v>
      </c>
      <c r="F3" s="13" t="s">
        <v>217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t="s">
        <v>549</v>
      </c>
      <c r="Z3" s="16" t="s">
        <v>550</v>
      </c>
      <c r="AA3" s="13" t="s">
        <v>118</v>
      </c>
      <c r="AB3" s="14"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63</v>
      </c>
      <c r="C2" s="14" t="s">
        <v>552</v>
      </c>
      <c r="D2" s="13" t="s">
        <v>553</v>
      </c>
      <c r="E2" s="13" t="s">
        <v>42</v>
      </c>
      <c r="F2" s="13" t="s">
        <v>97</v>
      </c>
      <c r="G2" s="13" t="s">
        <v>98</v>
      </c>
      <c r="H2" s="13"/>
      <c r="I2" s="14" t="s">
        <v>554</v>
      </c>
      <c r="J2" s="15"/>
      <c r="K2" s="14" t="s">
        <v>555</v>
      </c>
      <c r="L2" s="13" t="n">
        <v>2012</v>
      </c>
      <c r="M2" s="13" t="n">
        <f aca="false">IF(L2="","",说明!$B$4-L2)</f>
        <v>14</v>
      </c>
      <c r="N2" s="14" t="s">
        <v>556</v>
      </c>
      <c r="O2" s="15"/>
      <c r="P2" s="15"/>
      <c r="Q2" s="14"/>
      <c r="R2" s="13" t="str">
        <f aca="false">IF(AND(P2="",O2=""),"",IF(OR(N(P2)&gt;=说明!$B$5,N(O2)&gt;=说明!$B$6),"大型",IF(OR(N(P2)&gt;=说明!$B$7,N(O2)&gt;=说明!$B$8),"中型","小型")))</f>
        <v/>
      </c>
      <c r="S2" s="14" t="s">
        <v>557</v>
      </c>
      <c r="T2" s="13"/>
      <c r="U2" s="15"/>
      <c r="V2" s="15"/>
      <c r="W2" s="13"/>
      <c r="X2" s="14"/>
      <c r="Y2" s="14" t="s">
        <v>558</v>
      </c>
      <c r="Z2" s="16" t="s">
        <v>559</v>
      </c>
      <c r="AA2" s="13" t="s">
        <v>109</v>
      </c>
      <c r="AB2" s="14"/>
    </row>
    <row r="3" customFormat="false" ht="48" hidden="false" customHeight="true" outlineLevel="0" collapsed="false">
      <c r="A3" s="13" t="n">
        <v>2</v>
      </c>
      <c r="B3" s="13" t="s">
        <v>63</v>
      </c>
      <c r="C3" s="14" t="s">
        <v>560</v>
      </c>
      <c r="D3" s="13"/>
      <c r="E3" s="13" t="s">
        <v>36</v>
      </c>
      <c r="F3" s="13" t="s">
        <v>97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561</v>
      </c>
      <c r="T3" s="13"/>
      <c r="U3" s="15"/>
      <c r="V3" s="15"/>
      <c r="W3" s="13"/>
      <c r="X3" s="14"/>
      <c r="Y3" s="14"/>
      <c r="Z3" s="16" t="s">
        <v>562</v>
      </c>
      <c r="AA3" s="13" t="s">
        <v>118</v>
      </c>
      <c r="AB3" s="14"/>
    </row>
    <row r="4" customFormat="false" ht="48" hidden="false" customHeight="true" outlineLevel="0" collapsed="false">
      <c r="A4" s="13" t="n">
        <v>3</v>
      </c>
      <c r="B4" s="13" t="s">
        <v>63</v>
      </c>
      <c r="C4" s="14" t="s">
        <v>563</v>
      </c>
      <c r="D4" s="13" t="s">
        <v>564</v>
      </c>
      <c r="E4" s="13" t="s">
        <v>38</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t="s">
        <v>565</v>
      </c>
      <c r="T4" s="13"/>
      <c r="U4" s="15"/>
      <c r="V4" s="15"/>
      <c r="W4" s="13"/>
      <c r="X4" s="14"/>
      <c r="Y4" s="14" t="s">
        <v>566</v>
      </c>
      <c r="Z4" s="16" t="s">
        <v>567</v>
      </c>
      <c r="AA4" s="13" t="s">
        <v>118</v>
      </c>
      <c r="AB4" s="14" t="s">
        <v>568</v>
      </c>
    </row>
    <row r="5" customFormat="false" ht="48" hidden="false" customHeight="true" outlineLevel="0" collapsed="false">
      <c r="A5" s="13" t="n">
        <v>4</v>
      </c>
      <c r="B5" s="13" t="s">
        <v>63</v>
      </c>
      <c r="C5" s="14" t="s">
        <v>569</v>
      </c>
      <c r="D5" s="13"/>
      <c r="E5" s="13" t="s">
        <v>40</v>
      </c>
      <c r="F5" s="13" t="s">
        <v>217</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570</v>
      </c>
      <c r="T5" s="13"/>
      <c r="U5" s="15"/>
      <c r="V5" s="15"/>
      <c r="W5" s="13"/>
      <c r="X5" s="14"/>
      <c r="Y5" s="14"/>
      <c r="Z5" s="16" t="s">
        <v>571</v>
      </c>
      <c r="AA5" s="13" t="s">
        <v>109</v>
      </c>
      <c r="AB5" s="14"/>
    </row>
    <row r="6" customFormat="false" ht="48" hidden="false" customHeight="true" outlineLevel="0" collapsed="false">
      <c r="A6" s="13" t="n">
        <v>5</v>
      </c>
      <c r="B6" s="13" t="s">
        <v>63</v>
      </c>
      <c r="C6" s="14" t="s">
        <v>572</v>
      </c>
      <c r="D6" s="13" t="s">
        <v>573</v>
      </c>
      <c r="E6" s="13" t="s">
        <v>42</v>
      </c>
      <c r="F6" s="13" t="s">
        <v>131</v>
      </c>
      <c r="G6" s="13" t="s">
        <v>325</v>
      </c>
      <c r="H6" s="13"/>
      <c r="I6" s="14" t="s">
        <v>574</v>
      </c>
      <c r="J6" s="15"/>
      <c r="K6" s="14"/>
      <c r="L6" s="15"/>
      <c r="M6" s="13" t="str">
        <f aca="false">IF(L6="","",说明!$B$4-L6)</f>
        <v/>
      </c>
      <c r="N6" s="14"/>
      <c r="O6" s="15"/>
      <c r="P6" s="15"/>
      <c r="Q6" s="14"/>
      <c r="R6" s="13" t="str">
        <f aca="false">IF(AND(P6="",O6=""),"",IF(OR(N(P6)&gt;=说明!$B$5,N(O6)&gt;=说明!$B$6),"大型",IF(OR(N(P6)&gt;=说明!$B$7,N(O6)&gt;=说明!$B$8),"中型","小型")))</f>
        <v/>
      </c>
      <c r="S6" s="14"/>
      <c r="T6" s="13"/>
      <c r="U6" s="15"/>
      <c r="V6" s="15"/>
      <c r="W6" s="13"/>
      <c r="X6" s="14"/>
      <c r="Y6" s="14"/>
      <c r="Z6" s="16" t="s">
        <v>137</v>
      </c>
      <c r="AA6" s="13" t="s">
        <v>109</v>
      </c>
      <c r="AB6" s="14"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64</v>
      </c>
      <c r="C2" s="14" t="s">
        <v>575</v>
      </c>
      <c r="D2" s="13" t="s">
        <v>575</v>
      </c>
      <c r="E2" s="13" t="s">
        <v>37</v>
      </c>
      <c r="F2" s="13" t="s">
        <v>131</v>
      </c>
      <c r="G2" s="13" t="s">
        <v>134</v>
      </c>
      <c r="H2" s="13"/>
      <c r="I2" s="14" t="s">
        <v>576</v>
      </c>
      <c r="J2" s="15"/>
      <c r="K2" s="14"/>
      <c r="L2" s="15"/>
      <c r="M2" s="13" t="str">
        <f aca="false">IF(L2="","",说明!$B$4-L2)</f>
        <v/>
      </c>
      <c r="N2" s="14"/>
      <c r="O2" s="15"/>
      <c r="P2" s="15"/>
      <c r="Q2" s="14"/>
      <c r="R2" s="13" t="str">
        <f aca="false">IF(AND(P2="",O2=""),"",IF(OR(N(P2)&gt;=说明!$B$5,N(O2)&gt;=说明!$B$6),"大型",IF(OR(N(P2)&gt;=说明!$B$7,N(O2)&gt;=说明!$B$8),"中型","小型")))</f>
        <v/>
      </c>
      <c r="S2" s="14"/>
      <c r="T2" s="13"/>
      <c r="U2" s="15"/>
      <c r="V2" s="15"/>
      <c r="W2" s="13"/>
      <c r="X2" s="14"/>
      <c r="Y2" s="14"/>
      <c r="Z2" s="16" t="s">
        <v>137</v>
      </c>
      <c r="AA2" s="13" t="s">
        <v>109</v>
      </c>
      <c r="AB2" s="14"/>
    </row>
    <row r="3" customFormat="false" ht="48" hidden="false" customHeight="true" outlineLevel="0" collapsed="false">
      <c r="A3" s="13" t="n">
        <v>2</v>
      </c>
      <c r="B3" s="13" t="s">
        <v>64</v>
      </c>
      <c r="C3" s="14" t="s">
        <v>577</v>
      </c>
      <c r="D3" s="13" t="s">
        <v>577</v>
      </c>
      <c r="E3" s="13" t="s">
        <v>37</v>
      </c>
      <c r="F3" s="13" t="s">
        <v>131</v>
      </c>
      <c r="G3" s="13" t="s">
        <v>134</v>
      </c>
      <c r="H3" s="13"/>
      <c r="I3" s="14" t="s">
        <v>578</v>
      </c>
      <c r="J3" s="13" t="s">
        <v>579</v>
      </c>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15" hidden="false" customHeight="false" outlineLevel="0" collapsed="false">
      <c r="C2" s="2" t="s">
        <v>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66</v>
      </c>
      <c r="C2" s="14" t="s">
        <v>580</v>
      </c>
      <c r="D2" s="13"/>
      <c r="E2" s="13" t="s">
        <v>40</v>
      </c>
      <c r="F2" s="13" t="s">
        <v>217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581</v>
      </c>
      <c r="T2" s="13"/>
      <c r="U2" s="15"/>
      <c r="V2" s="15"/>
      <c r="W2" s="13"/>
      <c r="X2" s="14"/>
      <c r="Y2" s="14"/>
      <c r="Z2" s="16" t="s">
        <v>582</v>
      </c>
      <c r="AA2" s="13" t="s">
        <v>118</v>
      </c>
      <c r="AB2" s="14"/>
    </row>
    <row r="3" customFormat="false" ht="48" hidden="false" customHeight="true" outlineLevel="0" collapsed="false">
      <c r="A3" s="13" t="n">
        <v>2</v>
      </c>
      <c r="B3" s="13" t="s">
        <v>66</v>
      </c>
      <c r="C3" s="14" t="s">
        <v>583</v>
      </c>
      <c r="D3" s="13" t="s">
        <v>583</v>
      </c>
      <c r="E3" s="13" t="s">
        <v>37</v>
      </c>
      <c r="F3" s="13" t="s">
        <v>131</v>
      </c>
      <c r="G3" s="13" t="s">
        <v>134</v>
      </c>
      <c r="H3" s="13"/>
      <c r="I3" s="14" t="s">
        <v>584</v>
      </c>
      <c r="J3" s="15"/>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67</v>
      </c>
      <c r="C2" s="14" t="s">
        <v>585</v>
      </c>
      <c r="D2" s="13"/>
      <c r="E2" s="13" t="s">
        <v>40</v>
      </c>
      <c r="F2" s="13" t="s">
        <v>217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586</v>
      </c>
      <c r="T2" s="13"/>
      <c r="U2" s="15"/>
      <c r="V2" s="15"/>
      <c r="W2" s="13"/>
      <c r="X2" s="14"/>
      <c r="Y2" s="14"/>
      <c r="Z2" s="16" t="s">
        <v>587</v>
      </c>
      <c r="AA2" s="13" t="s">
        <v>118</v>
      </c>
      <c r="AB2" s="14"/>
    </row>
    <row r="3" customFormat="false" ht="48" hidden="false" customHeight="true" outlineLevel="0" collapsed="false">
      <c r="A3" s="13" t="n">
        <v>2</v>
      </c>
      <c r="B3" s="13" t="s">
        <v>67</v>
      </c>
      <c r="C3" s="14" t="s">
        <v>588</v>
      </c>
      <c r="D3" s="13" t="s">
        <v>588</v>
      </c>
      <c r="E3" s="13" t="s">
        <v>37</v>
      </c>
      <c r="F3" s="13" t="s">
        <v>127</v>
      </c>
      <c r="G3" s="13" t="s">
        <v>134</v>
      </c>
      <c r="H3" s="13"/>
      <c r="I3" s="14" t="s">
        <v>589</v>
      </c>
      <c r="J3" s="13" t="s">
        <v>590</v>
      </c>
      <c r="K3" s="14"/>
      <c r="L3" s="15"/>
      <c r="M3" s="13" t="str">
        <f aca="false">IF(L3="","",说明!$B$4-L3)</f>
        <v/>
      </c>
      <c r="N3" s="14"/>
      <c r="O3" s="15"/>
      <c r="P3" s="15"/>
      <c r="Q3" s="14"/>
      <c r="R3" s="13" t="str">
        <f aca="false">IF(AND(P3="",O3=""),"",IF(OR(N(P3)&gt;=说明!$B$5,N(O3)&gt;=说明!$B$6),"大型",IF(OR(N(P3)&gt;=说明!$B$7,N(O3)&gt;=说明!$B$8),"中型","小型")))</f>
        <v/>
      </c>
      <c r="S3" s="14"/>
      <c r="T3" s="13"/>
      <c r="U3" s="15"/>
      <c r="V3" s="15"/>
      <c r="W3" s="13"/>
      <c r="X3" s="14"/>
      <c r="Y3" s="14"/>
      <c r="Z3" s="16" t="s">
        <v>137</v>
      </c>
      <c r="AA3" s="13" t="s">
        <v>109</v>
      </c>
      <c r="AB3" s="14"/>
    </row>
    <row r="4" customFormat="false" ht="48" hidden="false" customHeight="true" outlineLevel="0" collapsed="false">
      <c r="A4" s="13" t="n">
        <v>3</v>
      </c>
      <c r="B4" s="13" t="s">
        <v>67</v>
      </c>
      <c r="C4" s="14" t="s">
        <v>591</v>
      </c>
      <c r="D4" s="13" t="s">
        <v>591</v>
      </c>
      <c r="E4" s="13" t="s">
        <v>36</v>
      </c>
      <c r="F4" s="13" t="s">
        <v>127</v>
      </c>
      <c r="G4" s="13" t="s">
        <v>128</v>
      </c>
      <c r="H4" s="13"/>
      <c r="I4" s="14"/>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592</v>
      </c>
      <c r="AA4" s="13" t="s">
        <v>118</v>
      </c>
      <c r="AB4" s="14"/>
    </row>
    <row r="5" customFormat="false" ht="48" hidden="false" customHeight="true" outlineLevel="0" collapsed="false">
      <c r="A5" s="13" t="n">
        <v>4</v>
      </c>
      <c r="B5" s="13" t="s">
        <v>67</v>
      </c>
      <c r="C5" s="14" t="s">
        <v>593</v>
      </c>
      <c r="D5" s="13" t="s">
        <v>594</v>
      </c>
      <c r="E5" s="13" t="s">
        <v>42</v>
      </c>
      <c r="F5" s="13" t="s">
        <v>142</v>
      </c>
      <c r="G5" s="13" t="s">
        <v>341</v>
      </c>
      <c r="H5" s="13"/>
      <c r="I5" s="14" t="s">
        <v>595</v>
      </c>
      <c r="J5" s="15"/>
      <c r="K5" s="14"/>
      <c r="L5" s="15"/>
      <c r="M5" s="13" t="str">
        <f aca="false">IF(L5="","",说明!$B$4-L5)</f>
        <v/>
      </c>
      <c r="N5" s="14" t="s">
        <v>596</v>
      </c>
      <c r="O5" s="15"/>
      <c r="P5" s="15"/>
      <c r="Q5" s="14"/>
      <c r="R5" s="13" t="str">
        <f aca="false">IF(AND(P5="",O5=""),"",IF(OR(N(P5)&gt;=说明!$B$5,N(O5)&gt;=说明!$B$6),"大型",IF(OR(N(P5)&gt;=说明!$B$7,N(O5)&gt;=说明!$B$8),"中型","小型")))</f>
        <v/>
      </c>
      <c r="S5" s="14" t="s">
        <v>597</v>
      </c>
      <c r="T5" s="13"/>
      <c r="U5" s="15"/>
      <c r="V5" s="15"/>
      <c r="W5" s="13"/>
      <c r="X5" s="14"/>
      <c r="Y5" s="14"/>
      <c r="Z5" s="16" t="s">
        <v>598</v>
      </c>
      <c r="AA5" s="13" t="s">
        <v>118</v>
      </c>
      <c r="AB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68</v>
      </c>
      <c r="C2" s="14" t="s">
        <v>599</v>
      </c>
      <c r="D2" s="13"/>
      <c r="E2" s="13" t="s">
        <v>41</v>
      </c>
      <c r="F2" s="13" t="s">
        <v>97</v>
      </c>
      <c r="G2" s="13" t="s">
        <v>98</v>
      </c>
      <c r="H2" s="13"/>
      <c r="I2" s="14" t="s">
        <v>600</v>
      </c>
      <c r="J2" s="15"/>
      <c r="K2" s="14"/>
      <c r="L2" s="15"/>
      <c r="M2" s="13" t="str">
        <f aca="false">IF(L2="","",说明!$B$4-L2)</f>
        <v/>
      </c>
      <c r="N2" s="14"/>
      <c r="O2" s="15"/>
      <c r="P2" s="15"/>
      <c r="Q2" s="14"/>
      <c r="R2" s="13" t="str">
        <f aca="false">IF(AND(P2="",O2=""),"",IF(OR(N(P2)&gt;=说明!$B$5,N(O2)&gt;=说明!$B$6),"大型",IF(OR(N(P2)&gt;=说明!$B$7,N(O2)&gt;=说明!$B$8),"中型","小型")))</f>
        <v/>
      </c>
      <c r="S2" s="14" t="s">
        <v>601</v>
      </c>
      <c r="T2" s="13"/>
      <c r="U2" s="15"/>
      <c r="V2" s="15"/>
      <c r="W2" s="13"/>
      <c r="X2" s="14"/>
      <c r="Y2" s="14"/>
      <c r="Z2" s="16" t="s">
        <v>602</v>
      </c>
      <c r="AA2" s="13" t="s">
        <v>118</v>
      </c>
      <c r="AB2" s="14"/>
    </row>
    <row r="3" customFormat="false" ht="48" hidden="false" customHeight="true" outlineLevel="0" collapsed="false">
      <c r="A3" s="13" t="n">
        <v>2</v>
      </c>
      <c r="B3" s="13" t="s">
        <v>68</v>
      </c>
      <c r="C3" s="14" t="s">
        <v>603</v>
      </c>
      <c r="D3" s="13"/>
      <c r="E3" s="13" t="s">
        <v>40</v>
      </c>
      <c r="F3" s="13" t="s">
        <v>217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604</v>
      </c>
      <c r="T3" s="13"/>
      <c r="U3" s="15"/>
      <c r="V3" s="15"/>
      <c r="W3" s="13"/>
      <c r="X3" s="14"/>
      <c r="Y3" s="14"/>
      <c r="Z3" s="16" t="s">
        <v>605</v>
      </c>
      <c r="AA3" s="13" t="s">
        <v>118</v>
      </c>
      <c r="AB3" s="14"/>
    </row>
    <row r="4" customFormat="false" ht="48" hidden="false" customHeight="true" outlineLevel="0" collapsed="false">
      <c r="A4" s="13" t="n">
        <v>3</v>
      </c>
      <c r="B4" s="13" t="s">
        <v>68</v>
      </c>
      <c r="C4" s="14" t="s">
        <v>606</v>
      </c>
      <c r="D4" s="13" t="s">
        <v>606</v>
      </c>
      <c r="E4" s="13" t="s">
        <v>37</v>
      </c>
      <c r="F4" s="13" t="s">
        <v>131</v>
      </c>
      <c r="G4" s="13" t="s">
        <v>134</v>
      </c>
      <c r="H4" s="13"/>
      <c r="I4" s="14" t="s">
        <v>607</v>
      </c>
      <c r="J4" s="15"/>
      <c r="K4" s="14"/>
      <c r="L4" s="15"/>
      <c r="M4" s="13" t="str">
        <f aca="false">IF(L4="","",说明!$B$4-L4)</f>
        <v/>
      </c>
      <c r="N4" s="14"/>
      <c r="O4" s="15"/>
      <c r="P4" s="15"/>
      <c r="Q4" s="14"/>
      <c r="R4" s="13" t="str">
        <f aca="false">IF(AND(P4="",O4=""),"",IF(OR(N(P4)&gt;=说明!$B$5,N(O4)&gt;=说明!$B$6),"大型",IF(OR(N(P4)&gt;=说明!$B$7,N(O4)&gt;=说明!$B$8),"中型","小型")))</f>
        <v/>
      </c>
      <c r="S4" s="14"/>
      <c r="T4" s="13"/>
      <c r="U4" s="15"/>
      <c r="V4" s="15"/>
      <c r="W4" s="13"/>
      <c r="X4" s="14"/>
      <c r="Y4" s="14"/>
      <c r="Z4" s="16" t="s">
        <v>137</v>
      </c>
      <c r="AA4" s="13" t="s">
        <v>109</v>
      </c>
      <c r="AB4" s="14"/>
    </row>
    <row r="5" customFormat="false" ht="48" hidden="false" customHeight="true" outlineLevel="0" collapsed="false">
      <c r="A5" s="13" t="n">
        <v>4</v>
      </c>
      <c r="B5" s="13" t="s">
        <v>68</v>
      </c>
      <c r="C5" s="14" t="s">
        <v>608</v>
      </c>
      <c r="D5" s="13"/>
      <c r="E5" s="13" t="s">
        <v>42</v>
      </c>
      <c r="F5" s="13" t="s">
        <v>142</v>
      </c>
      <c r="G5" s="13" t="s">
        <v>98</v>
      </c>
      <c r="H5" s="13"/>
      <c r="I5" s="14"/>
      <c r="J5" s="15"/>
      <c r="K5" s="14"/>
      <c r="L5" s="15"/>
      <c r="M5" s="13" t="str">
        <f aca="false">IF(L5="","",说明!$B$4-L5)</f>
        <v/>
      </c>
      <c r="N5" s="14"/>
      <c r="O5" s="15"/>
      <c r="P5" s="15"/>
      <c r="Q5" s="14"/>
      <c r="R5" s="13" t="str">
        <f aca="false">IF(AND(P5="",O5=""),"",IF(OR(N(P5)&gt;=说明!$B$5,N(O5)&gt;=说明!$B$6),"大型",IF(OR(N(P5)&gt;=说明!$B$7,N(O5)&gt;=说明!$B$8),"中型","小型")))</f>
        <v/>
      </c>
      <c r="S5" s="14" t="s">
        <v>609</v>
      </c>
      <c r="T5" s="13"/>
      <c r="U5" s="15"/>
      <c r="V5" s="15"/>
      <c r="W5" s="13"/>
      <c r="X5" s="14"/>
      <c r="Y5" s="14"/>
      <c r="Z5" s="16" t="s">
        <v>610</v>
      </c>
      <c r="AA5" s="13" t="s">
        <v>118</v>
      </c>
      <c r="AB5"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69</v>
      </c>
      <c r="C2" s="14" t="s">
        <v>611</v>
      </c>
      <c r="D2" s="13"/>
      <c r="E2" s="13" t="s">
        <v>40</v>
      </c>
      <c r="F2" s="13" t="s">
        <v>217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612</v>
      </c>
      <c r="T2" s="13"/>
      <c r="U2" s="15"/>
      <c r="V2" s="15"/>
      <c r="W2" s="13"/>
      <c r="X2" s="14"/>
      <c r="Y2" s="14"/>
      <c r="Z2" s="16" t="s">
        <v>613</v>
      </c>
      <c r="AA2" s="13" t="s">
        <v>118</v>
      </c>
      <c r="AB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30"/>
    <col collapsed="false" customWidth="true" hidden="false" outlineLevel="0" max="4" min="4" style="0" width="16"/>
    <col collapsed="false" customWidth="true" hidden="false" outlineLevel="0" max="5" min="5" style="0" width="13"/>
    <col collapsed="false" customWidth="true" hidden="false" outlineLevel="0" max="6" min="6" style="0" width="14"/>
    <col collapsed="false" customWidth="true" hidden="false" outlineLevel="0" max="7" min="7" style="0" width="11"/>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8"/>
    <col collapsed="false" customWidth="true" hidden="false" outlineLevel="0" max="13" min="12" style="0" width="9"/>
    <col collapsed="false" customWidth="true" hidden="false" outlineLevel="0" max="14" min="14" style="0" width="16"/>
    <col collapsed="false" customWidth="true" hidden="false" outlineLevel="0" max="16" min="15" style="0" width="9"/>
    <col collapsed="false" customWidth="true" hidden="false" outlineLevel="0" max="17" min="17" style="0" width="14"/>
    <col collapsed="false" customWidth="true" hidden="false" outlineLevel="0" max="18" min="18" style="0" width="9"/>
    <col collapsed="false" customWidth="true" hidden="false" outlineLevel="0" max="19" min="19" style="0" width="26"/>
    <col collapsed="false" customWidth="true" hidden="false" outlineLevel="0" max="20" min="20" style="0" width="12"/>
    <col collapsed="false" customWidth="true" hidden="false" outlineLevel="0" max="22" min="21" style="0" width="9"/>
    <col collapsed="false" customWidth="true" hidden="false" outlineLevel="0" max="23" min="23" style="0" width="14"/>
    <col collapsed="false" customWidth="true" hidden="false" outlineLevel="0" max="24" min="24" style="0" width="18"/>
    <col collapsed="false" customWidth="true" hidden="false" outlineLevel="0" max="25" min="25" style="0" width="28"/>
    <col collapsed="false" customWidth="true" hidden="false" outlineLevel="0" max="26" min="26" style="0" width="40"/>
    <col collapsed="false" customWidth="true" hidden="false" outlineLevel="0" max="27" min="27" style="0" width="7"/>
    <col collapsed="false" customWidth="true" hidden="false" outlineLevel="0" max="28" min="28" style="0" width="26"/>
  </cols>
  <sheetData>
    <row r="1" customFormat="false" ht="31.5" hidden="false" customHeight="true" outlineLevel="0" collapsed="false">
      <c r="A1" s="8" t="s">
        <v>72</v>
      </c>
      <c r="B1" s="8" t="s">
        <v>34</v>
      </c>
      <c r="C1" s="8" t="s">
        <v>73</v>
      </c>
      <c r="D1" s="8" t="s">
        <v>74</v>
      </c>
      <c r="E1" s="8" t="s">
        <v>75</v>
      </c>
      <c r="F1" s="8" t="s">
        <v>14</v>
      </c>
      <c r="G1" s="8" t="s">
        <v>24</v>
      </c>
      <c r="H1" s="8" t="s">
        <v>76</v>
      </c>
      <c r="I1" s="8" t="s">
        <v>77</v>
      </c>
      <c r="J1" s="8" t="s">
        <v>78</v>
      </c>
      <c r="K1" s="8" t="s">
        <v>79</v>
      </c>
      <c r="L1" s="8" t="s">
        <v>80</v>
      </c>
      <c r="M1" s="8" t="s">
        <v>81</v>
      </c>
      <c r="N1" s="8" t="s">
        <v>82</v>
      </c>
      <c r="O1" s="8" t="s">
        <v>83</v>
      </c>
      <c r="P1" s="8" t="s">
        <v>84</v>
      </c>
      <c r="Q1" s="8" t="s">
        <v>85</v>
      </c>
      <c r="R1" s="8" t="s">
        <v>20</v>
      </c>
      <c r="S1" s="8" t="s">
        <v>86</v>
      </c>
      <c r="T1" s="8" t="s">
        <v>87</v>
      </c>
      <c r="U1" s="8" t="s">
        <v>88</v>
      </c>
      <c r="V1" s="8" t="s">
        <v>89</v>
      </c>
      <c r="W1" s="8" t="s">
        <v>90</v>
      </c>
      <c r="X1" s="8" t="s">
        <v>91</v>
      </c>
      <c r="Y1" s="8" t="s">
        <v>92</v>
      </c>
      <c r="Z1" s="8" t="s">
        <v>93</v>
      </c>
      <c r="AA1" s="8" t="s">
        <v>22</v>
      </c>
      <c r="AB1" s="8" t="s">
        <v>94</v>
      </c>
    </row>
    <row r="2" customFormat="false" ht="48" hidden="false" customHeight="true" outlineLevel="0" collapsed="false">
      <c r="A2" s="13" t="n">
        <v>1</v>
      </c>
      <c r="B2" s="13" t="s">
        <v>70</v>
      </c>
      <c r="C2" s="14" t="s">
        <v>614</v>
      </c>
      <c r="D2" s="13" t="s">
        <v>615</v>
      </c>
      <c r="E2" s="13" t="s">
        <v>37</v>
      </c>
      <c r="F2" s="13" t="s">
        <v>97</v>
      </c>
      <c r="G2" s="13" t="s">
        <v>98</v>
      </c>
      <c r="H2" s="13"/>
      <c r="I2" s="14"/>
      <c r="J2" s="15"/>
      <c r="K2" s="14"/>
      <c r="L2" s="15"/>
      <c r="M2" s="13" t="str">
        <f aca="false">IF(L2="","",说明!$B$4-L2)</f>
        <v/>
      </c>
      <c r="N2" s="14"/>
      <c r="O2" s="15"/>
      <c r="P2" s="15"/>
      <c r="Q2" s="14"/>
      <c r="R2" s="13" t="str">
        <f aca="false">IF(AND(P2="",O2=""),"",IF(OR(N(P2)&gt;=说明!$B$5,N(O2)&gt;=说明!$B$6),"大型",IF(OR(N(P2)&gt;=说明!$B$7,N(O2)&gt;=说明!$B$8),"中型","小型")))</f>
        <v/>
      </c>
      <c r="S2" s="14" t="s">
        <v>616</v>
      </c>
      <c r="T2" s="13"/>
      <c r="U2" s="15"/>
      <c r="V2" s="15"/>
      <c r="W2" s="13"/>
      <c r="X2" s="14"/>
      <c r="Y2" s="14"/>
      <c r="Z2" s="16" t="s">
        <v>617</v>
      </c>
      <c r="AA2" s="13" t="s">
        <v>109</v>
      </c>
      <c r="AB2" s="14" t="s">
        <v>618</v>
      </c>
    </row>
    <row r="3" customFormat="false" ht="48" hidden="false" customHeight="true" outlineLevel="0" collapsed="false">
      <c r="A3" s="13" t="n">
        <v>2</v>
      </c>
      <c r="B3" s="13" t="s">
        <v>70</v>
      </c>
      <c r="C3" s="14" t="s">
        <v>619</v>
      </c>
      <c r="D3" s="13"/>
      <c r="E3" s="13" t="s">
        <v>42</v>
      </c>
      <c r="F3" s="13" t="s">
        <v>97</v>
      </c>
      <c r="G3" s="13" t="s">
        <v>98</v>
      </c>
      <c r="H3" s="13"/>
      <c r="I3" s="14"/>
      <c r="J3" s="15"/>
      <c r="K3" s="14"/>
      <c r="L3" s="15"/>
      <c r="M3" s="13" t="str">
        <f aca="false">IF(L3="","",说明!$B$4-L3)</f>
        <v/>
      </c>
      <c r="N3" s="14"/>
      <c r="O3" s="15"/>
      <c r="P3" s="15"/>
      <c r="Q3" s="14"/>
      <c r="R3" s="13" t="str">
        <f aca="false">IF(AND(P3="",O3=""),"",IF(OR(N(P3)&gt;=说明!$B$5,N(O3)&gt;=说明!$B$6),"大型",IF(OR(N(P3)&gt;=说明!$B$7,N(O3)&gt;=说明!$B$8),"中型","小型")))</f>
        <v/>
      </c>
      <c r="S3" s="14" t="s">
        <v>620</v>
      </c>
      <c r="T3" s="13"/>
      <c r="U3" s="15"/>
      <c r="V3" s="15"/>
      <c r="W3" s="13"/>
      <c r="X3" s="14"/>
      <c r="Y3" s="14"/>
      <c r="Z3" s="16" t="s">
        <v>621</v>
      </c>
      <c r="AA3" s="13" t="s">
        <v>109</v>
      </c>
      <c r="AB3" s="14" t="s">
        <v>622</v>
      </c>
    </row>
    <row r="4" customFormat="false" ht="48" hidden="false" customHeight="true" outlineLevel="0" collapsed="false">
      <c r="A4" s="13" t="n">
        <v>3</v>
      </c>
      <c r="B4" s="13" t="s">
        <v>70</v>
      </c>
      <c r="C4" s="14" t="s">
        <v>623</v>
      </c>
      <c r="D4" s="13" t="s">
        <v>624</v>
      </c>
      <c r="E4" s="13" t="s">
        <v>36</v>
      </c>
      <c r="F4" s="13" t="s">
        <v>97</v>
      </c>
      <c r="G4" s="13" t="s">
        <v>98</v>
      </c>
      <c r="H4" s="13"/>
      <c r="I4" s="14"/>
      <c r="J4" s="15"/>
      <c r="K4" s="14"/>
      <c r="L4" s="15"/>
      <c r="M4" s="13" t="str">
        <f aca="false">IF(L4="","",说明!$B$4-L4)</f>
        <v/>
      </c>
      <c r="N4" s="14"/>
      <c r="O4" s="15"/>
      <c r="P4" s="15"/>
      <c r="Q4" s="14"/>
      <c r="R4" s="13" t="str">
        <f aca="false">IF(AND(P4="",O4=""),"",IF(OR(N(P4)&gt;=说明!$B$5,N(O4)&gt;=说明!$B$6),"大型",IF(OR(N(P4)&gt;=说明!$B$7,N(O4)&gt;=说明!$B$8),"中型","小型")))</f>
        <v/>
      </c>
      <c r="S4" s="14"/>
      <c r="T4" s="13" t="s">
        <v>625</v>
      </c>
      <c r="U4" s="15"/>
      <c r="V4" s="15"/>
      <c r="W4" s="13"/>
      <c r="X4" s="14"/>
      <c r="Y4" s="14"/>
      <c r="Z4" s="16" t="s">
        <v>626</v>
      </c>
      <c r="AA4" s="13" t="s">
        <v>118</v>
      </c>
      <c r="AB4" s="14" t="s">
        <v>627</v>
      </c>
    </row>
    <row r="5" customFormat="false" ht="48" hidden="false" customHeight="true" outlineLevel="0" collapsed="false">
      <c r="A5" s="13" t="n">
        <v>4</v>
      </c>
      <c r="B5" s="13" t="s">
        <v>70</v>
      </c>
      <c r="C5" s="14" t="s">
        <v>628</v>
      </c>
      <c r="D5" s="13" t="s">
        <v>629</v>
      </c>
      <c r="E5" s="13" t="s">
        <v>36</v>
      </c>
      <c r="F5" s="13" t="s">
        <v>97</v>
      </c>
      <c r="G5" s="13" t="s">
        <v>325</v>
      </c>
      <c r="H5" s="13"/>
      <c r="I5" s="14" t="s">
        <v>630</v>
      </c>
      <c r="J5" s="15"/>
      <c r="K5" s="14"/>
      <c r="L5" s="15"/>
      <c r="M5" s="13" t="str">
        <f aca="false">IF(L5="","",说明!$B$4-L5)</f>
        <v/>
      </c>
      <c r="N5" s="14"/>
      <c r="O5" s="13" t="n">
        <v>5</v>
      </c>
      <c r="P5" s="13" t="n">
        <v>70</v>
      </c>
      <c r="Q5" s="14" t="s">
        <v>631</v>
      </c>
      <c r="R5" s="13" t="str">
        <f aca="false">IF(AND(P5="",O5=""),"",IF(OR(N(P5)&gt;=说明!$B$5,N(O5)&gt;=说明!$B$6),"大型",IF(OR(N(P5)&gt;=说明!$B$7,N(O5)&gt;=说明!$B$8),"中型","小型")))</f>
        <v>小型</v>
      </c>
      <c r="S5" s="14" t="s">
        <v>632</v>
      </c>
      <c r="T5" s="13" t="s">
        <v>633</v>
      </c>
      <c r="U5" s="15"/>
      <c r="V5" s="15"/>
      <c r="W5" s="13"/>
      <c r="X5" s="14"/>
      <c r="Y5" s="14"/>
      <c r="Z5" s="16" t="s">
        <v>634</v>
      </c>
      <c r="AA5" s="13" t="s">
        <v>118</v>
      </c>
      <c r="AB5" s="14" t="s">
        <v>635</v>
      </c>
    </row>
    <row r="6" customFormat="false" ht="48" hidden="false" customHeight="true" outlineLevel="0" collapsed="false">
      <c r="A6" s="13" t="n">
        <v>5</v>
      </c>
      <c r="B6" s="13" t="s">
        <v>70</v>
      </c>
      <c r="C6" s="14" t="s">
        <v>636</v>
      </c>
      <c r="D6" s="13" t="s">
        <v>637</v>
      </c>
      <c r="E6" s="13" t="s">
        <v>36</v>
      </c>
      <c r="F6" s="13" t="s">
        <v>97</v>
      </c>
      <c r="G6" s="13" t="s">
        <v>98</v>
      </c>
      <c r="H6" s="13"/>
      <c r="I6" s="14"/>
      <c r="J6" s="15"/>
      <c r="K6" s="14"/>
      <c r="L6" s="13" t="n">
        <v>2007</v>
      </c>
      <c r="M6" s="13" t="n">
        <f aca="false">IF(L6="","",说明!$B$4-L6)</f>
        <v>19</v>
      </c>
      <c r="N6" s="14" t="s">
        <v>638</v>
      </c>
      <c r="O6" s="13" t="n">
        <v>16</v>
      </c>
      <c r="P6" s="13" t="n">
        <v>240</v>
      </c>
      <c r="Q6" s="14"/>
      <c r="R6" s="13" t="str">
        <f aca="false">IF(AND(P6="",O6=""),"",IF(OR(N(P6)&gt;=说明!$B$5,N(O6)&gt;=说明!$B$6),"大型",IF(OR(N(P6)&gt;=说明!$B$7,N(O6)&gt;=说明!$B$8),"中型","小型")))</f>
        <v>中型</v>
      </c>
      <c r="S6" s="14" t="s">
        <v>639</v>
      </c>
      <c r="T6" s="13"/>
      <c r="U6" s="15"/>
      <c r="V6" s="15"/>
      <c r="W6" s="13"/>
      <c r="X6" s="14"/>
      <c r="Y6" s="14" t="s">
        <v>640</v>
      </c>
      <c r="Z6" s="16" t="s">
        <v>641</v>
      </c>
      <c r="AA6" s="13" t="s">
        <v>118</v>
      </c>
      <c r="AB6" s="14" t="s">
        <v>642</v>
      </c>
    </row>
    <row r="7" customFormat="false" ht="48" hidden="false" customHeight="true" outlineLevel="0" collapsed="false">
      <c r="A7" s="13" t="n">
        <v>6</v>
      </c>
      <c r="B7" s="13" t="s">
        <v>70</v>
      </c>
      <c r="C7" s="14" t="s">
        <v>643</v>
      </c>
      <c r="D7" s="13" t="s">
        <v>644</v>
      </c>
      <c r="E7" s="13" t="s">
        <v>36</v>
      </c>
      <c r="F7" s="13" t="s">
        <v>97</v>
      </c>
      <c r="G7" s="13" t="s">
        <v>186</v>
      </c>
      <c r="H7" s="13"/>
      <c r="I7" s="14"/>
      <c r="J7" s="15"/>
      <c r="K7" s="14"/>
      <c r="L7" s="15"/>
      <c r="M7" s="13" t="str">
        <f aca="false">IF(L7="","",说明!$B$4-L7)</f>
        <v/>
      </c>
      <c r="N7" s="14"/>
      <c r="O7" s="15"/>
      <c r="P7" s="15"/>
      <c r="Q7" s="14" t="s">
        <v>645</v>
      </c>
      <c r="R7" s="13" t="str">
        <f aca="false">IF(AND(P7="",O7=""),"",IF(OR(N(P7)&gt;=说明!$B$5,N(O7)&gt;=说明!$B$6),"大型",IF(OR(N(P7)&gt;=说明!$B$7,N(O7)&gt;=说明!$B$8),"中型","小型")))</f>
        <v/>
      </c>
      <c r="S7" s="14" t="s">
        <v>646</v>
      </c>
      <c r="T7" s="13" t="s">
        <v>188</v>
      </c>
      <c r="U7" s="15"/>
      <c r="V7" s="15"/>
      <c r="W7" s="13"/>
      <c r="X7" s="14"/>
      <c r="Y7" s="14"/>
      <c r="Z7" s="16" t="s">
        <v>647</v>
      </c>
      <c r="AA7" s="13" t="s">
        <v>118</v>
      </c>
      <c r="AB7" s="14" t="s">
        <v>648</v>
      </c>
    </row>
    <row r="8" customFormat="false" ht="48" hidden="false" customHeight="true" outlineLevel="0" collapsed="false">
      <c r="A8" s="13" t="n">
        <v>7</v>
      </c>
      <c r="B8" s="13" t="s">
        <v>70</v>
      </c>
      <c r="C8" s="14" t="s">
        <v>649</v>
      </c>
      <c r="D8" s="13" t="s">
        <v>650</v>
      </c>
      <c r="E8" s="13" t="s">
        <v>39</v>
      </c>
      <c r="F8" s="13" t="s">
        <v>97</v>
      </c>
      <c r="G8" s="13" t="s">
        <v>325</v>
      </c>
      <c r="H8" s="13"/>
      <c r="I8" s="14" t="s">
        <v>651</v>
      </c>
      <c r="J8" s="15"/>
      <c r="K8" s="14"/>
      <c r="L8" s="15"/>
      <c r="M8" s="13" t="str">
        <f aca="false">IF(L8="","",说明!$B$4-L8)</f>
        <v/>
      </c>
      <c r="N8" s="14" t="s">
        <v>652</v>
      </c>
      <c r="O8" s="15"/>
      <c r="P8" s="15"/>
      <c r="Q8" s="14"/>
      <c r="R8" s="13" t="str">
        <f aca="false">IF(AND(P8="",O8=""),"",IF(OR(N(P8)&gt;=说明!$B$5,N(O8)&gt;=说明!$B$6),"大型",IF(OR(N(P8)&gt;=说明!$B$7,N(O8)&gt;=说明!$B$8),"中型","小型")))</f>
        <v/>
      </c>
      <c r="S8" s="14" t="s">
        <v>653</v>
      </c>
      <c r="T8" s="13"/>
      <c r="U8" s="15"/>
      <c r="V8" s="15"/>
      <c r="W8" s="13"/>
      <c r="X8" s="14"/>
      <c r="Y8" s="14"/>
      <c r="Z8" s="16" t="s">
        <v>654</v>
      </c>
      <c r="AA8" s="13" t="s">
        <v>118</v>
      </c>
      <c r="AB8" s="14" t="s">
        <v>655</v>
      </c>
    </row>
    <row r="9" customFormat="false" ht="48" hidden="false" customHeight="true" outlineLevel="0" collapsed="false">
      <c r="A9" s="13" t="n">
        <v>8</v>
      </c>
      <c r="B9" s="13" t="s">
        <v>70</v>
      </c>
      <c r="C9" s="14" t="s">
        <v>656</v>
      </c>
      <c r="D9" s="13" t="s">
        <v>657</v>
      </c>
      <c r="E9" s="13" t="s">
        <v>39</v>
      </c>
      <c r="F9" s="13" t="s">
        <v>97</v>
      </c>
      <c r="G9" s="13" t="s">
        <v>325</v>
      </c>
      <c r="H9" s="13"/>
      <c r="I9" s="14"/>
      <c r="J9" s="15"/>
      <c r="K9" s="14"/>
      <c r="L9" s="13" t="n">
        <v>2017</v>
      </c>
      <c r="M9" s="13" t="n">
        <f aca="false">IF(L9="","",说明!$B$4-L9)</f>
        <v>9</v>
      </c>
      <c r="N9" s="14" t="s">
        <v>658</v>
      </c>
      <c r="O9" s="13" t="n">
        <v>32</v>
      </c>
      <c r="P9" s="13" t="n">
        <v>1410</v>
      </c>
      <c r="Q9" s="14"/>
      <c r="R9" s="13" t="str">
        <f aca="false">IF(AND(P9="",O9=""),"",IF(OR(N(P9)&gt;=说明!$B$5,N(O9)&gt;=说明!$B$6),"大型",IF(OR(N(P9)&gt;=说明!$B$7,N(O9)&gt;=说明!$B$8),"中型","小型")))</f>
        <v>大型</v>
      </c>
      <c r="S9" s="14" t="s">
        <v>659</v>
      </c>
      <c r="T9" s="13" t="s">
        <v>106</v>
      </c>
      <c r="U9" s="15"/>
      <c r="V9" s="15"/>
      <c r="W9" s="13"/>
      <c r="X9" s="14"/>
      <c r="Y9" s="14" t="s">
        <v>660</v>
      </c>
      <c r="Z9" s="16" t="s">
        <v>661</v>
      </c>
      <c r="AA9" s="13" t="s">
        <v>109</v>
      </c>
      <c r="AB9" s="14" t="s">
        <v>662</v>
      </c>
    </row>
    <row r="10" customFormat="false" ht="48" hidden="false" customHeight="true" outlineLevel="0" collapsed="false">
      <c r="A10" s="13" t="n">
        <v>9</v>
      </c>
      <c r="B10" s="13" t="s">
        <v>70</v>
      </c>
      <c r="C10" s="14" t="s">
        <v>663</v>
      </c>
      <c r="D10" s="13" t="s">
        <v>664</v>
      </c>
      <c r="E10" s="13" t="s">
        <v>39</v>
      </c>
      <c r="F10" s="13" t="s">
        <v>97</v>
      </c>
      <c r="G10" s="13" t="s">
        <v>325</v>
      </c>
      <c r="H10" s="13"/>
      <c r="I10" s="14"/>
      <c r="J10" s="15"/>
      <c r="K10" s="14"/>
      <c r="L10" s="13" t="n">
        <v>2015</v>
      </c>
      <c r="M10" s="13" t="n">
        <f aca="false">IF(L10="","",说明!$B$4-L10)</f>
        <v>11</v>
      </c>
      <c r="N10" s="14" t="s">
        <v>665</v>
      </c>
      <c r="O10" s="15"/>
      <c r="P10" s="15"/>
      <c r="Q10" s="14"/>
      <c r="R10" s="13" t="str">
        <f aca="false">IF(AND(P10="",O10=""),"",IF(OR(N(P10)&gt;=说明!$B$5,N(O10)&gt;=说明!$B$6),"大型",IF(OR(N(P10)&gt;=说明!$B$7,N(O10)&gt;=说明!$B$8),"中型","小型")))</f>
        <v/>
      </c>
      <c r="S10" s="14"/>
      <c r="T10" s="13" t="s">
        <v>666</v>
      </c>
      <c r="U10" s="15"/>
      <c r="V10" s="15"/>
      <c r="W10" s="13"/>
      <c r="X10" s="14"/>
      <c r="Y10" s="14"/>
      <c r="Z10" s="16" t="s">
        <v>667</v>
      </c>
      <c r="AA10" s="13" t="s">
        <v>118</v>
      </c>
      <c r="AB10" s="14"/>
    </row>
    <row r="11" customFormat="false" ht="48" hidden="false" customHeight="true" outlineLevel="0" collapsed="false">
      <c r="A11" s="13" t="n">
        <v>10</v>
      </c>
      <c r="B11" s="13" t="s">
        <v>70</v>
      </c>
      <c r="C11" s="14" t="s">
        <v>668</v>
      </c>
      <c r="D11" s="13" t="s">
        <v>669</v>
      </c>
      <c r="E11" s="13" t="s">
        <v>39</v>
      </c>
      <c r="F11" s="13" t="s">
        <v>97</v>
      </c>
      <c r="G11" s="13" t="s">
        <v>98</v>
      </c>
      <c r="H11" s="13"/>
      <c r="I11" s="14"/>
      <c r="J11" s="15"/>
      <c r="K11" s="14"/>
      <c r="L11" s="15"/>
      <c r="M11" s="13" t="str">
        <f aca="false">IF(L11="","",说明!$B$4-L11)</f>
        <v/>
      </c>
      <c r="N11" s="14"/>
      <c r="O11" s="15"/>
      <c r="P11" s="15"/>
      <c r="Q11" s="14"/>
      <c r="R11" s="13" t="str">
        <f aca="false">IF(AND(P11="",O11=""),"",IF(OR(N(P11)&gt;=说明!$B$5,N(O11)&gt;=说明!$B$6),"大型",IF(OR(N(P11)&gt;=说明!$B$7,N(O11)&gt;=说明!$B$8),"中型","小型")))</f>
        <v/>
      </c>
      <c r="S11" s="14"/>
      <c r="T11" s="13"/>
      <c r="U11" s="15"/>
      <c r="V11" s="15"/>
      <c r="W11" s="13"/>
      <c r="X11" s="14" t="s">
        <v>670</v>
      </c>
      <c r="Y11" s="14"/>
      <c r="Z11" s="16" t="s">
        <v>671</v>
      </c>
      <c r="AA11" s="13" t="s">
        <v>118</v>
      </c>
      <c r="AB11" s="14" t="s">
        <v>672</v>
      </c>
    </row>
    <row r="12" customFormat="false" ht="48" hidden="false" customHeight="true" outlineLevel="0" collapsed="false">
      <c r="A12" s="13" t="n">
        <v>11</v>
      </c>
      <c r="B12" s="13" t="s">
        <v>70</v>
      </c>
      <c r="C12" s="14" t="s">
        <v>673</v>
      </c>
      <c r="D12" s="13" t="s">
        <v>674</v>
      </c>
      <c r="E12" s="13" t="s">
        <v>38</v>
      </c>
      <c r="F12" s="13" t="s">
        <v>97</v>
      </c>
      <c r="G12" s="13" t="s">
        <v>170</v>
      </c>
      <c r="H12" s="13"/>
      <c r="I12" s="14" t="s">
        <v>675</v>
      </c>
      <c r="J12" s="15"/>
      <c r="K12" s="14" t="s">
        <v>676</v>
      </c>
      <c r="L12" s="13" t="n">
        <v>2018</v>
      </c>
      <c r="M12" s="13" t="n">
        <f aca="false">IF(L12="","",说明!$B$4-L12)</f>
        <v>8</v>
      </c>
      <c r="N12" s="14" t="s">
        <v>677</v>
      </c>
      <c r="O12" s="15"/>
      <c r="P12" s="13" t="n">
        <v>260</v>
      </c>
      <c r="Q12" s="14"/>
      <c r="R12" s="13" t="str">
        <f aca="false">IF(AND(P12="",O12=""),"",IF(OR(N(P12)&gt;=说明!$B$5,N(O12)&gt;=说明!$B$6),"大型",IF(OR(N(P12)&gt;=说明!$B$7,N(O12)&gt;=说明!$B$8),"中型","小型")))</f>
        <v>中型</v>
      </c>
      <c r="S12" s="14" t="s">
        <v>678</v>
      </c>
      <c r="T12" s="13" t="s">
        <v>679</v>
      </c>
      <c r="U12" s="15"/>
      <c r="V12" s="15"/>
      <c r="W12" s="13"/>
      <c r="X12" s="14"/>
      <c r="Y12" s="14" t="s">
        <v>680</v>
      </c>
      <c r="Z12" s="16" t="s">
        <v>681</v>
      </c>
      <c r="AA12" s="13" t="s">
        <v>362</v>
      </c>
      <c r="AB12" s="14" t="s">
        <v>682</v>
      </c>
    </row>
    <row r="13" customFormat="false" ht="48" hidden="false" customHeight="true" outlineLevel="0" collapsed="false">
      <c r="A13" s="13" t="n">
        <v>12</v>
      </c>
      <c r="B13" s="13" t="s">
        <v>70</v>
      </c>
      <c r="C13" s="14" t="s">
        <v>683</v>
      </c>
      <c r="D13" s="13" t="s">
        <v>434</v>
      </c>
      <c r="E13" s="13" t="s">
        <v>40</v>
      </c>
      <c r="F13" s="13" t="s">
        <v>217</v>
      </c>
      <c r="G13" s="13" t="s">
        <v>170</v>
      </c>
      <c r="H13" s="13"/>
      <c r="I13" s="14" t="s">
        <v>684</v>
      </c>
      <c r="J13" s="15"/>
      <c r="K13" s="14" t="s">
        <v>685</v>
      </c>
      <c r="L13" s="13" t="n">
        <v>1992</v>
      </c>
      <c r="M13" s="13" t="n">
        <f aca="false">IF(L13="","",说明!$B$4-L13)</f>
        <v>34</v>
      </c>
      <c r="N13" s="14" t="s">
        <v>686</v>
      </c>
      <c r="O13" s="15"/>
      <c r="P13" s="15"/>
      <c r="Q13" s="14" t="s">
        <v>687</v>
      </c>
      <c r="R13" s="13" t="str">
        <f aca="false">IF(AND(P13="",O13=""),"",IF(OR(N(P13)&gt;=说明!$B$5,N(O13)&gt;=说明!$B$6),"大型",IF(OR(N(P13)&gt;=说明!$B$7,N(O13)&gt;=说明!$B$8),"中型","小型")))</f>
        <v/>
      </c>
      <c r="S13" s="14" t="s">
        <v>688</v>
      </c>
      <c r="T13" s="13"/>
      <c r="U13" s="15"/>
      <c r="V13" s="15"/>
      <c r="W13" s="13"/>
      <c r="X13" s="14"/>
      <c r="Y13" s="14" t="s">
        <v>689</v>
      </c>
      <c r="Z13" s="16" t="s">
        <v>690</v>
      </c>
      <c r="AA13" s="13" t="s">
        <v>362</v>
      </c>
      <c r="AB13" s="14"/>
    </row>
    <row r="14" customFormat="false" ht="48" hidden="false" customHeight="true" outlineLevel="0" collapsed="false">
      <c r="A14" s="13" t="n">
        <v>13</v>
      </c>
      <c r="B14" s="13" t="s">
        <v>70</v>
      </c>
      <c r="C14" s="14" t="s">
        <v>691</v>
      </c>
      <c r="D14" s="13" t="s">
        <v>692</v>
      </c>
      <c r="E14" s="13" t="s">
        <v>40</v>
      </c>
      <c r="F14" s="13" t="s">
        <v>217</v>
      </c>
      <c r="G14" s="13" t="s">
        <v>170</v>
      </c>
      <c r="H14" s="13"/>
      <c r="I14" s="14" t="s">
        <v>693</v>
      </c>
      <c r="J14" s="15"/>
      <c r="K14" s="14"/>
      <c r="L14" s="13" t="n">
        <v>2002</v>
      </c>
      <c r="M14" s="13" t="n">
        <f aca="false">IF(L14="","",说明!$B$4-L14)</f>
        <v>24</v>
      </c>
      <c r="N14" s="14" t="s">
        <v>694</v>
      </c>
      <c r="O14" s="15"/>
      <c r="P14" s="13" t="n">
        <v>260</v>
      </c>
      <c r="Q14" s="14" t="s">
        <v>695</v>
      </c>
      <c r="R14" s="13" t="str">
        <f aca="false">IF(AND(P14="",O14=""),"",IF(OR(N(P14)&gt;=说明!$B$5,N(O14)&gt;=说明!$B$6),"大型",IF(OR(N(P14)&gt;=说明!$B$7,N(O14)&gt;=说明!$B$8),"中型","小型")))</f>
        <v>中型</v>
      </c>
      <c r="S14" s="14" t="s">
        <v>696</v>
      </c>
      <c r="T14" s="13" t="s">
        <v>697</v>
      </c>
      <c r="U14" s="15"/>
      <c r="V14" s="15"/>
      <c r="W14" s="13"/>
      <c r="X14" s="14"/>
      <c r="Y14" s="14" t="s">
        <v>698</v>
      </c>
      <c r="Z14" s="16" t="s">
        <v>699</v>
      </c>
      <c r="AA14" s="13" t="s">
        <v>109</v>
      </c>
      <c r="AB14" s="14"/>
    </row>
    <row r="15" customFormat="false" ht="48" hidden="false" customHeight="true" outlineLevel="0" collapsed="false">
      <c r="A15" s="13" t="n">
        <v>14</v>
      </c>
      <c r="B15" s="13" t="s">
        <v>70</v>
      </c>
      <c r="C15" s="14" t="s">
        <v>700</v>
      </c>
      <c r="D15" s="13" t="s">
        <v>701</v>
      </c>
      <c r="E15" s="13" t="s">
        <v>36</v>
      </c>
      <c r="F15" s="13" t="s">
        <v>142</v>
      </c>
      <c r="G15" s="13" t="s">
        <v>98</v>
      </c>
      <c r="H15" s="13"/>
      <c r="I15" s="14" t="s">
        <v>702</v>
      </c>
      <c r="J15" s="15"/>
      <c r="K15" s="14"/>
      <c r="L15" s="15"/>
      <c r="M15" s="13" t="str">
        <f aca="false">IF(L15="","",说明!$B$4-L15)</f>
        <v/>
      </c>
      <c r="N15" s="14"/>
      <c r="O15" s="15"/>
      <c r="P15" s="15"/>
      <c r="Q15" s="14" t="s">
        <v>703</v>
      </c>
      <c r="R15" s="13" t="str">
        <f aca="false">IF(AND(P15="",O15=""),"",IF(OR(N(P15)&gt;=说明!$B$5,N(O15)&gt;=说明!$B$6),"大型",IF(OR(N(P15)&gt;=说明!$B$7,N(O15)&gt;=说明!$B$8),"中型","小型")))</f>
        <v/>
      </c>
      <c r="S15" s="14" t="s">
        <v>704</v>
      </c>
      <c r="T15" s="13" t="s">
        <v>705</v>
      </c>
      <c r="U15" s="15"/>
      <c r="V15" s="15"/>
      <c r="W15" s="13"/>
      <c r="X15" s="14"/>
      <c r="Y15" s="14"/>
      <c r="Z15" s="16" t="s">
        <v>706</v>
      </c>
      <c r="AA15" s="13" t="s">
        <v>118</v>
      </c>
      <c r="AB15" s="14" t="s">
        <v>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2026-10-24T13:57:08Z</dcterms:created>
  <dc:creator>openpyxl</dc:creator>
  <dc:description/>
  <dc:language>en-US</dc:language>
  <cp:lastModifiedBy/>
  <dcterms:modified xsi:type="dcterms:W3CDTF">2026-10-24T13:57:08Z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